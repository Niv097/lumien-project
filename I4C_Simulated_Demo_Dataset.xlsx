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4C_Inbound_FraudReports" sheetId="2" state="visible" r:id="rId2"/>
    <sheet xmlns:r="http://schemas.openxmlformats.org/officeDocument/2006/relationships" name="I4C_Incidents" sheetId="3" state="visible" r:id="rId3"/>
    <sheet xmlns:r="http://schemas.openxmlformats.org/officeDocument/2006/relationships" name="Bank_Case_Workflow" sheetId="4" state="visible" r:id="rId4"/>
    <sheet xmlns:r="http://schemas.openxmlformats.org/officeDocument/2006/relationships" name="Bank_Hold_Actions" sheetId="5" state="visible" r:id="rId5"/>
    <sheet xmlns:r="http://schemas.openxmlformats.org/officeDocument/2006/relationships" name="Bank_StatusUpdate_Request" sheetId="6" state="visible" r:id="rId6"/>
    <sheet xmlns:r="http://schemas.openxmlformats.org/officeDocument/2006/relationships" name="Bank_StatusUpdate_TxnDetails" sheetId="7" state="visible" r:id="rId7"/>
    <sheet xmlns:r="http://schemas.openxmlformats.org/officeDocument/2006/relationships" name="I4C_StatusUpdate_Response" sheetId="8" state="visible" r:id="rId8"/>
    <sheet xmlns:r="http://schemas.openxmlformats.org/officeDocument/2006/relationships" name="Workflow_Timeline" sheetId="9" state="visible" r:id="rId9"/>
    <sheet xmlns:r="http://schemas.openxmlformats.org/officeDocument/2006/relationships" name="Meta_BankMaster" sheetId="10" state="visible" r:id="rId10"/>
    <sheet xmlns:r="http://schemas.openxmlformats.org/officeDocument/2006/relationships" name="Meta_StatusCodes" sheetId="11" state="visible" r:id="rId11"/>
    <sheet xmlns:r="http://schemas.openxmlformats.org/officeDocument/2006/relationships" name="Bank_Branches" sheetId="12" state="visible" r:id="rId12"/>
    <sheet xmlns:r="http://schemas.openxmlformats.org/officeDocument/2006/relationships" name="Bank_Users" sheetId="13" state="visible" r:id="rId13"/>
    <sheet xmlns:r="http://schemas.openxmlformats.org/officeDocument/2006/relationships" name="Demo_Scenarios" sheetId="14" state="visible" r:id="rId14"/>
  </sheets>
  <definedNames>
    <definedName name="_xlnm._FilterDatabase" localSheetId="1" hidden="1">'I4C_Inbound_FraudReports'!$A$1:$S$31</definedName>
    <definedName name="_xlnm._FilterDatabase" localSheetId="2" hidden="1">'I4C_Incidents'!$A$1:$M$56</definedName>
    <definedName name="_xlnm._FilterDatabase" localSheetId="3" hidden="1">'Bank_Case_Workflow'!$A$1:$I$31</definedName>
    <definedName name="_xlnm._FilterDatabase" localSheetId="4" hidden="1">'Bank_Hold_Actions'!$A$1:$M$56</definedName>
    <definedName name="_xlnm._FilterDatabase" localSheetId="5" hidden="1">'Bank_StatusUpdate_Request'!$A$1:$H$31</definedName>
    <definedName name="_xlnm._FilterDatabase" localSheetId="6" hidden="1">'Bank_StatusUpdate_TxnDetails'!$A$1:$T$56</definedName>
    <definedName name="_xlnm._FilterDatabase" localSheetId="7" hidden="1">'I4C_StatusUpdate_Response'!$A$1:$E$31</definedName>
    <definedName name="_xlnm._FilterDatabase" localSheetId="8" hidden="1">'Workflow_Timeline'!$A$1:$L$181</definedName>
    <definedName name="_xlnm._FilterDatabase" localSheetId="9" hidden="1">'Meta_BankMaster'!$A$1:$D$16</definedName>
    <definedName name="_xlnm._FilterDatabase" localSheetId="10" hidden="1">'Meta_StatusCodes'!$A$1:$E$9</definedName>
    <definedName name="_xlnm._FilterDatabase" localSheetId="11" hidden="1">'Bank_Branches'!$A$1:$F$11</definedName>
    <definedName name="_xlnm._FilterDatabase" localSheetId="12" hidden="1">'Bank_Users'!$A$1:$F$21</definedName>
    <definedName name="_xlnm._FilterDatabase" localSheetId="13" hidden="1">'Demo_Scenarios'!$A$1:$B$6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FraudReports" displayName="tblFraudReports" ref="A1:Q31" headerRowCount="1">
  <autoFilter ref="A1:Q31"/>
  <tableColumns count="17">
    <tableColumn id="1" name="acknowledgement_no"/>
    <tableColumn id="2" name="sub_category"/>
    <tableColumn id="3" name="requestor"/>
    <tableColumn id="4" name="payer_bank"/>
    <tableColumn id="5" name="payer_bank_code"/>
    <tableColumn id="6" name="mode_of_payment"/>
    <tableColumn id="7" name="payer_mobile_number"/>
    <tableColumn id="8" name="payer_account_number"/>
    <tableColumn id="9" name="state"/>
    <tableColumn id="10" name="district"/>
    <tableColumn id="11" name="transaction_type"/>
    <tableColumn id="12" name="wallet"/>
    <tableColumn id="13" name="received_at"/>
    <tableColumn id="14" name="incident_count"/>
    <tableColumn id="15" name="total_disputed_amount"/>
    <tableColumn id="16" name="bank_ack_response_code"/>
    <tableColumn id="17" name="bank_job_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FraudReports2" displayName="tblFraudReports2" ref="A1:S31" headerRowCount="1">
  <autoFilter ref="A1:S31"/>
  <tableColumns count="19">
    <tableColumn id="1" name="acknowledgement_no"/>
    <tableColumn id="2" name="sub_category"/>
    <tableColumn id="3" name="requestor"/>
    <tableColumn id="4" name="payer_bank"/>
    <tableColumn id="5" name="payer_bank_code"/>
    <tableColumn id="6" name="mode_of_payment"/>
    <tableColumn id="7" name="payer_mobile_number"/>
    <tableColumn id="8" name="payer_account_number"/>
    <tableColumn id="9" name="state"/>
    <tableColumn id="10" name="district"/>
    <tableColumn id="11" name="transaction_type"/>
    <tableColumn id="12" name="wallet"/>
    <tableColumn id="13" name="received_at"/>
    <tableColumn id="14" name="incident_count"/>
    <tableColumn id="15" name="total_disputed_amount"/>
    <tableColumn id="16" name="bank_ack_response_code"/>
    <tableColumn id="17" name="bank_job_id"/>
    <tableColumn id="18" name="calc_total_disputed_amount"/>
    <tableColumn id="19" name="amount_match_fla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Incidents" displayName="tblIncidents" ref="A1:M56" headerRowCount="1">
  <autoFilter ref="A1:M56"/>
  <tableColumns count="13">
    <tableColumn id="1" name="acknowledgement_no"/>
    <tableColumn id="2" name="incident_id"/>
    <tableColumn id="3" name="sub_category"/>
    <tableColumn id="4" name="amount"/>
    <tableColumn id="5" name="rrn"/>
    <tableColumn id="6" name="transaction_date"/>
    <tableColumn id="7" name="transaction_time"/>
    <tableColumn id="8" name="disputed_amount"/>
    <tableColumn id="9" name="layer"/>
    <tableColumn id="10" name="payee_bank"/>
    <tableColumn id="11" name="payee_bank_code"/>
    <tableColumn id="12" name="payee_ifsc_code"/>
    <tableColumn id="13" name="payee_account_numb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BankCases" displayName="tblBankCases" ref="A1:I31" headerRowCount="1">
  <autoFilter ref="A1:I31"/>
  <tableColumns count="9">
    <tableColumn id="1" name="case_id"/>
    <tableColumn id="2" name="acknowledgement_no"/>
    <tableColumn id="3" name="job_id"/>
    <tableColumn id="4" name="created_at"/>
    <tableColumn id="5" name="assigned_queue"/>
    <tableColumn id="6" name="assigned_branch_id"/>
    <tableColumn id="7" name="priority"/>
    <tableColumn id="8" name="current_state"/>
    <tableColumn id="9" name="scenari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HoldActions" displayName="tblHoldActions" ref="A1:M56" headerRowCount="1">
  <autoFilter ref="A1:M56"/>
  <tableColumns count="13">
    <tableColumn id="1" name="action_id"/>
    <tableColumn id="2" name="case_id"/>
    <tableColumn id="3" name="acknowledgement_no"/>
    <tableColumn id="4" name="incident_id"/>
    <tableColumn id="5" name="action_type"/>
    <tableColumn id="6" name="action_time"/>
    <tableColumn id="7" name="requested_amount"/>
    <tableColumn id="8" name="action_amount"/>
    <tableColumn id="9" name="held_amount"/>
    <tableColumn id="10" name="hold_reference"/>
    <tableColumn id="11" name="negative_lien_flag"/>
    <tableColumn id="12" name="outcome"/>
    <tableColumn id="13" name="remark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StatusReq" displayName="tblStatusReq" ref="A1:H31" headerRowCount="1">
  <autoFilter ref="A1:H31"/>
  <tableColumns count="8">
    <tableColumn id="1" name="request_id"/>
    <tableColumn id="2" name="acknowledgement_no"/>
    <tableColumn id="3" name="job_id"/>
    <tableColumn id="4" name="sent_at"/>
    <tableColumn id="5" name="content_type"/>
    <tableColumn id="6" name="authorization_type"/>
    <tableColumn id="7" name="payload_encrypted"/>
    <tableColumn id="8" name="transaction_coun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StatusTxn" displayName="tblStatusTxn" ref="A1:T56" headerRowCount="1">
  <autoFilter ref="A1:T56"/>
  <tableColumns count="20">
    <tableColumn id="1" name="request_id"/>
    <tableColumn id="2" name="acknowledgement_no"/>
    <tableColumn id="3" name="job_id"/>
    <tableColumn id="4" name="incident_id"/>
    <tableColumn id="5" name="root_rrn_transaction_id"/>
    <tableColumn id="6" name="root_bankid"/>
    <tableColumn id="7" name="root_account_number"/>
    <tableColumn id="8" name="amount"/>
    <tableColumn id="9" name="transaction_datetime"/>
    <tableColumn id="10" name="disputed_amount"/>
    <tableColumn id="11" name="status_code"/>
    <tableColumn id="12" name="remarks"/>
    <tableColumn id="13" name="phone_number"/>
    <tableColumn id="14" name="pan_number"/>
    <tableColumn id="15" name="email"/>
    <tableColumn id="16" name="root_ifsc_code"/>
    <tableColumn id="17" name="root_effective_balance"/>
    <tableColumn id="18" name="negative_lien_flag"/>
    <tableColumn id="19" name="hold_reference"/>
    <tableColumn id="20" name="held_amoun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I4CResp" displayName="tblI4CResp" ref="A1:E31" headerRowCount="1">
  <autoFilter ref="A1:E31"/>
  <tableColumns count="5">
    <tableColumn id="1" name="request_id"/>
    <tableColumn id="2" name="i4c_response_code"/>
    <tableColumn id="3" name="i4c_message"/>
    <tableColumn id="4" name="received_at"/>
    <tableColumn id="5" name="error_fl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Timeline" displayName="tblTimeline" ref="A1:J181" headerRowCount="1">
  <autoFilter ref="A1:J181"/>
  <tableColumns count="10">
    <tableColumn id="1" name="case_id"/>
    <tableColumn id="2" name="acknowledgement_no"/>
    <tableColumn id="3" name="job_id"/>
    <tableColumn id="4" name="step_no"/>
    <tableColumn id="5" name="step_name"/>
    <tableColumn id="6" name="actor"/>
    <tableColumn id="7" name="start_time"/>
    <tableColumn id="8" name="end_time"/>
    <tableColumn id="9" name="step_status"/>
    <tableColumn id="10" name="sla_target_minu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Timeline2" displayName="tblTimeline2" ref="A1:L181" headerRowCount="1">
  <autoFilter ref="A1:L181"/>
  <tableColumns count="12">
    <tableColumn id="1" name="case_id"/>
    <tableColumn id="2" name="acknowledgement_no"/>
    <tableColumn id="3" name="job_id"/>
    <tableColumn id="4" name="step_no"/>
    <tableColumn id="5" name="step_name"/>
    <tableColumn id="6" name="actor"/>
    <tableColumn id="7" name="start_time"/>
    <tableColumn id="8" name="end_time"/>
    <tableColumn id="9" name="step_status"/>
    <tableColumn id="10" name="sla_target_minutes"/>
    <tableColumn id="11" name="actual_minutes"/>
    <tableColumn id="12" name="sla_breache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BankMaster" displayName="tblBankMaster" ref="A1:D16" headerRowCount="1">
  <autoFilter ref="A1:D16"/>
  <tableColumns count="4">
    <tableColumn id="1" name="bank_name"/>
    <tableColumn id="2" name="bank_code"/>
    <tableColumn id="3" name="ifsc_prefix"/>
    <tableColumn id="4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StatusCodes" displayName="tblStatusCodes" ref="A1:E9" headerRowCount="1">
  <autoFilter ref="A1:E9"/>
  <tableColumns count="5">
    <tableColumn id="1" name="status_code"/>
    <tableColumn id="2" name="status_label"/>
    <tableColumn id="3" name="meaning"/>
    <tableColumn id="4" name="owner"/>
    <tableColumn id="5" name="demo_example_usa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Branches" displayName="tblBranches" ref="A1:F11" headerRowCount="1">
  <autoFilter ref="A1:F11"/>
  <tableColumns count="6">
    <tableColumn id="1" name="branch_id"/>
    <tableColumn id="2" name="branch_name"/>
    <tableColumn id="3" name="state"/>
    <tableColumn id="4" name="district"/>
    <tableColumn id="5" name="ifsc_prefix"/>
    <tableColumn id="6" name="regio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Users" displayName="tblUsers" ref="A1:F21" headerRowCount="1">
  <autoFilter ref="A1:F21"/>
  <tableColumns count="6">
    <tableColumn id="1" name="user_id"/>
    <tableColumn id="2" name="full_name"/>
    <tableColumn id="3" name="role"/>
    <tableColumn id="4" name="branch_id"/>
    <tableColumn id="5" name="email"/>
    <tableColumn id="6" name="mobil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blDemoScenarios" displayName="tblDemoScenarios" ref="A1:B6" headerRowCount="1">
  <autoFilter ref="A1:B6"/>
  <tableColumns count="2">
    <tableColumn id="1" name="scenario"/>
    <tableColumn id="2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I4C Integration – Simulated Demo Dataset (for Bank Workflow Walkthrough)</t>
        </is>
      </c>
    </row>
    <row r="3">
      <c r="A3" s="2" t="inlineStr">
        <is>
          <t>How to use</t>
        </is>
      </c>
    </row>
    <row r="4">
      <c r="A4" s="3" t="inlineStr">
        <is>
          <t>This workbook contains synthetic (non-customer) data shaped to match the NIC/I4C payload fields in the provided API documentation.</t>
        </is>
      </c>
    </row>
    <row r="5">
      <c r="A5" s="3" t="inlineStr">
        <is>
          <t>Use it to simulate the end-to-end flow: I4C pushes Fraud Reports → Bank ACKs &amp; creates cases → Bank attempts hold/negative lien → Bank sends FraudReportStatusUpdate → I4C responds.</t>
        </is>
      </c>
    </row>
    <row r="6">
      <c r="A6" s="3" t="inlineStr"/>
    </row>
    <row r="7">
      <c r="A7" s="3" t="inlineStr">
        <is>
          <t>Primary keys to join sheets:</t>
        </is>
      </c>
    </row>
    <row r="8">
      <c r="A8" s="3" t="inlineStr">
        <is>
          <t>• acknowledgement_no: unique fraud report reference generated by I4C.</t>
        </is>
      </c>
    </row>
    <row r="9">
      <c r="A9" s="3" t="inlineStr">
        <is>
          <t>• job_id: unique bank-side tracking id returned to I4C at ACK time.</t>
        </is>
      </c>
    </row>
    <row r="10">
      <c r="A10" s="3" t="inlineStr">
        <is>
          <t>• request_id: unique Bank → I4C status-update request identifier (demo convenience).</t>
        </is>
      </c>
    </row>
    <row r="11">
      <c r="A11" s="3" t="inlineStr">
        <is>
          <t>• incident_id and root_rrn_transaction_id (RRN): transaction-level identifiers.</t>
        </is>
      </c>
    </row>
    <row r="12">
      <c r="A12" s="3" t="inlineStr"/>
    </row>
    <row r="13">
      <c r="A13" s="3" t="inlineStr">
        <is>
          <t>Suggested demo order:</t>
        </is>
      </c>
    </row>
    <row r="14">
      <c r="A14" s="3" t="inlineStr">
        <is>
          <t>1) Open 'I4C_Inbound_FraudReports' and pick an acknowledgement_no.</t>
        </is>
      </c>
    </row>
    <row r="15">
      <c r="A15" s="3" t="inlineStr">
        <is>
          <t>2) Drill into 'I4C_Incidents' for incident-level details and Layer.</t>
        </is>
      </c>
    </row>
    <row r="16">
      <c r="A16" s="3" t="inlineStr">
        <is>
          <t>3) View 'Bank_Case_Workflow' for routing/queue ownership.</t>
        </is>
      </c>
    </row>
    <row r="17">
      <c r="A17" s="3" t="inlineStr">
        <is>
          <t>4) View 'Bank_Hold_Actions' for hold/negative-lien attempts.</t>
        </is>
      </c>
    </row>
    <row r="18">
      <c r="A18" s="3" t="inlineStr">
        <is>
          <t>5) View 'Bank_StatusUpdate_Request' + 'Bank_StatusUpdate_TxnDetails' to show the exact payload sent to I4C.</t>
        </is>
      </c>
    </row>
    <row r="19">
      <c r="A19" s="3" t="inlineStr">
        <is>
          <t>6) View 'I4C_StatusUpdate_Response' and 'Workflow_Timeline' for SLA/TAT storyboards.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1" customWidth="1" min="3" max="3"/>
    <col width="23" customWidth="1" min="4" max="4"/>
    <col width="17" customWidth="1" min="5" max="5"/>
    <col width="17" customWidth="1" min="6" max="6"/>
    <col width="21" customWidth="1" min="7" max="7"/>
    <col width="22" customWidth="1" min="8" max="8"/>
    <col width="15" customWidth="1" min="9" max="9"/>
    <col width="17" customWidth="1" min="10" max="10"/>
    <col width="18" customWidth="1" min="11" max="11"/>
    <col width="12" customWidth="1" min="12" max="12"/>
    <col width="21" customWidth="1" min="13" max="13"/>
    <col width="16" customWidth="1" min="14" max="14"/>
    <col width="23" customWidth="1" min="15" max="15"/>
    <col width="24" customWidth="1" min="16" max="16"/>
    <col width="38" customWidth="1" min="17" max="17"/>
    <col width="54" customWidth="1" min="18" max="18"/>
    <col width="39" customWidth="1" min="19" max="19"/>
  </cols>
  <sheetData>
    <row r="1" ht="22" customHeight="1">
      <c r="A1" s="4" t="inlineStr">
        <is>
          <t>acknowledgement_no</t>
        </is>
      </c>
      <c r="B1" s="4" t="inlineStr">
        <is>
          <t>sub_category</t>
        </is>
      </c>
      <c r="C1" s="4" t="inlineStr">
        <is>
          <t>requestor</t>
        </is>
      </c>
      <c r="D1" s="4" t="inlineStr">
        <is>
          <t>payer_bank</t>
        </is>
      </c>
      <c r="E1" s="4" t="inlineStr">
        <is>
          <t>payer_bank_code</t>
        </is>
      </c>
      <c r="F1" s="4" t="inlineStr">
        <is>
          <t>mode_of_payment</t>
        </is>
      </c>
      <c r="G1" s="4" t="inlineStr">
        <is>
          <t>payer_mobile_number</t>
        </is>
      </c>
      <c r="H1" s="4" t="inlineStr">
        <is>
          <t>payer_account_number</t>
        </is>
      </c>
      <c r="I1" s="4" t="inlineStr">
        <is>
          <t>state</t>
        </is>
      </c>
      <c r="J1" s="4" t="inlineStr">
        <is>
          <t>district</t>
        </is>
      </c>
      <c r="K1" s="4" t="inlineStr">
        <is>
          <t>transaction_type</t>
        </is>
      </c>
      <c r="L1" s="4" t="inlineStr">
        <is>
          <t>wallet</t>
        </is>
      </c>
      <c r="M1" s="4" t="inlineStr">
        <is>
          <t>received_at</t>
        </is>
      </c>
      <c r="N1" s="4" t="inlineStr">
        <is>
          <t>incident_count</t>
        </is>
      </c>
      <c r="O1" s="4" t="inlineStr">
        <is>
          <t>total_disputed_amount</t>
        </is>
      </c>
      <c r="P1" s="4" t="inlineStr">
        <is>
          <t>bank_ack_response_code</t>
        </is>
      </c>
      <c r="Q1" s="4" t="inlineStr">
        <is>
          <t>bank_job_id</t>
        </is>
      </c>
      <c r="R1" s="5" t="inlineStr">
        <is>
          <t>calc_total_disputed_amount</t>
        </is>
      </c>
      <c r="S1" s="5" t="inlineStr">
        <is>
          <t>amount_match_flag</t>
        </is>
      </c>
    </row>
    <row r="2">
      <c r="A2" s="6" t="inlineStr">
        <is>
          <t>31608230000001</t>
        </is>
      </c>
      <c r="B2" s="6" t="inlineStr">
        <is>
          <t>UPI Related Frauds</t>
        </is>
      </c>
      <c r="C2" s="6" t="inlineStr">
        <is>
          <t>I4C-MHA</t>
        </is>
      </c>
      <c r="D2" s="6" t="inlineStr">
        <is>
          <t>Bank of Baroda</t>
        </is>
      </c>
      <c r="E2" s="6" t="n">
        <v>6</v>
      </c>
      <c r="F2" s="6" t="inlineStr">
        <is>
          <t>UPI</t>
        </is>
      </c>
      <c r="G2" s="6" t="inlineStr">
        <is>
          <t>0097882081</t>
        </is>
      </c>
      <c r="H2" s="6" t="inlineStr">
        <is>
          <t>LEEPZHPCF07UQN</t>
        </is>
      </c>
      <c r="I2" s="6" t="inlineStr">
        <is>
          <t>TAMIL NADU</t>
        </is>
      </c>
      <c r="J2" s="6" t="inlineStr">
        <is>
          <t>Chennai</t>
        </is>
      </c>
      <c r="K2" s="6" t="inlineStr">
        <is>
          <t>Non Mandatory</t>
        </is>
      </c>
      <c r="L2" s="6" t="inlineStr">
        <is>
          <t>Google Pay</t>
        </is>
      </c>
      <c r="M2" s="7" t="n">
        <v>45944.26736111111</v>
      </c>
      <c r="N2" s="6" t="n">
        <v>2</v>
      </c>
      <c r="O2" s="8" t="n">
        <v>1285.27</v>
      </c>
      <c r="P2" s="6" t="inlineStr">
        <is>
          <t>00</t>
        </is>
      </c>
      <c r="Q2" s="6" t="inlineStr">
        <is>
          <t>a809e351-37a8-4017-9977-dc4d0e60ec7b</t>
        </is>
      </c>
      <c r="R2" s="9">
        <f>SUMIF(I4C_Incidents!$A:$A,$A2,I4C_Incidents!$H:$H)</f>
        <v/>
      </c>
      <c r="S2" s="10">
        <f>IF(ABS($O2-$R2)&lt;0.01,"OK","CHECK")</f>
        <v/>
      </c>
    </row>
    <row r="3">
      <c r="A3" s="6" t="inlineStr">
        <is>
          <t>31608230000002</t>
        </is>
      </c>
      <c r="B3" s="6" t="inlineStr">
        <is>
          <t>Business Email Compromise/Email Takeover</t>
        </is>
      </c>
      <c r="C3" s="6" t="inlineStr">
        <is>
          <t>I4C-MHA</t>
        </is>
      </c>
      <c r="D3" s="6" t="inlineStr">
        <is>
          <t>ICICI Bank</t>
        </is>
      </c>
      <c r="E3" s="6" t="n">
        <v>3</v>
      </c>
      <c r="F3" s="6" t="inlineStr">
        <is>
          <t>Debit/Credit</t>
        </is>
      </c>
      <c r="G3" s="6" t="inlineStr">
        <is>
          <t>3036541458</t>
        </is>
      </c>
      <c r="H3" s="6" t="inlineStr">
        <is>
          <t>Z8VBHQLQCG1WU1</t>
        </is>
      </c>
      <c r="I3" s="6" t="inlineStr">
        <is>
          <t>MAHARASHTRA</t>
        </is>
      </c>
      <c r="J3" s="6" t="inlineStr">
        <is>
          <t>Pune</t>
        </is>
      </c>
      <c r="K3" s="6" t="inlineStr">
        <is>
          <t>Mandatory</t>
        </is>
      </c>
      <c r="L3" s="6" t="inlineStr"/>
      <c r="M3" s="7" t="n">
        <v>45950.07291666666</v>
      </c>
      <c r="N3" s="6" t="n">
        <v>3</v>
      </c>
      <c r="O3" s="8" t="n">
        <v>600.98</v>
      </c>
      <c r="P3" s="6" t="inlineStr">
        <is>
          <t>00</t>
        </is>
      </c>
      <c r="Q3" s="6" t="inlineStr">
        <is>
          <t>dc8ac3a9-c97b-4688-a12b-989696a01ca5</t>
        </is>
      </c>
      <c r="R3" s="9">
        <f>SUMIF(I4C_Incidents!$A:$A,$A3,I4C_Incidents!$H:$H)</f>
        <v/>
      </c>
      <c r="S3" s="10">
        <f>IF(ABS($O3-$R3)&lt;0.01,"OK","CHECK")</f>
        <v/>
      </c>
    </row>
    <row r="4">
      <c r="A4" s="6" t="inlineStr">
        <is>
          <t>31608230000003</t>
        </is>
      </c>
      <c r="B4" s="6" t="inlineStr">
        <is>
          <t>UPI Related Frauds</t>
        </is>
      </c>
      <c r="C4" s="6" t="inlineStr">
        <is>
          <t>I4C-MHA</t>
        </is>
      </c>
      <c r="D4" s="6" t="inlineStr">
        <is>
          <t>Axis Bank</t>
        </is>
      </c>
      <c r="E4" s="6" t="n">
        <v>4</v>
      </c>
      <c r="F4" s="6" t="inlineStr">
        <is>
          <t>IMPS</t>
        </is>
      </c>
      <c r="G4" s="6" t="inlineStr">
        <is>
          <t>4529912419</t>
        </is>
      </c>
      <c r="H4" s="6" t="inlineStr">
        <is>
          <t>BTYZMEPGTHCW81</t>
        </is>
      </c>
      <c r="I4" s="6" t="inlineStr">
        <is>
          <t>TAMIL NADU</t>
        </is>
      </c>
      <c r="J4" s="6" t="inlineStr">
        <is>
          <t>Chennai</t>
        </is>
      </c>
      <c r="K4" s="6" t="inlineStr">
        <is>
          <t>Mandatory</t>
        </is>
      </c>
      <c r="L4" s="6" t="inlineStr">
        <is>
          <t>PhonePe</t>
        </is>
      </c>
      <c r="M4" s="7" t="n">
        <v>45955.93402777778</v>
      </c>
      <c r="N4" s="6" t="n">
        <v>2</v>
      </c>
      <c r="O4" s="8" t="n">
        <v>11250.68</v>
      </c>
      <c r="P4" s="6" t="inlineStr">
        <is>
          <t>00</t>
        </is>
      </c>
      <c r="Q4" s="6" t="inlineStr">
        <is>
          <t>a7cd9031-8026-4865-a5bf-503cb85d456b</t>
        </is>
      </c>
      <c r="R4" s="9">
        <f>SUMIF(I4C_Incidents!$A:$A,$A4,I4C_Incidents!$H:$H)</f>
        <v/>
      </c>
      <c r="S4" s="10">
        <f>IF(ABS($O4-$R4)&lt;0.01,"OK","CHECK")</f>
        <v/>
      </c>
    </row>
    <row r="5">
      <c r="A5" s="6" t="inlineStr">
        <is>
          <t>31608230000004</t>
        </is>
      </c>
      <c r="B5" s="6" t="inlineStr">
        <is>
          <t>UPI Related Frauds</t>
        </is>
      </c>
      <c r="C5" s="6" t="inlineStr">
        <is>
          <t>I4C-MHA</t>
        </is>
      </c>
      <c r="D5" s="6" t="inlineStr">
        <is>
          <t>Punjab National Bank</t>
        </is>
      </c>
      <c r="E5" s="6" t="n">
        <v>5</v>
      </c>
      <c r="F5" s="6" t="inlineStr">
        <is>
          <t>IMPS</t>
        </is>
      </c>
      <c r="G5" s="6" t="inlineStr">
        <is>
          <t>1334123281</t>
        </is>
      </c>
      <c r="H5" s="6" t="inlineStr">
        <is>
          <t>KA024SCOSS3EOQ</t>
        </is>
      </c>
      <c r="I5" s="6" t="inlineStr">
        <is>
          <t>KARNATAKA</t>
        </is>
      </c>
      <c r="J5" s="6" t="inlineStr">
        <is>
          <t>Bengaluru Urban</t>
        </is>
      </c>
      <c r="K5" s="6" t="inlineStr">
        <is>
          <t>Mandatory</t>
        </is>
      </c>
      <c r="L5" s="6" t="inlineStr">
        <is>
          <t>BHIM</t>
        </is>
      </c>
      <c r="M5" s="7" t="n">
        <v>45936.94444444445</v>
      </c>
      <c r="N5" s="6" t="n">
        <v>3</v>
      </c>
      <c r="O5" s="8" t="n">
        <v>5750.49</v>
      </c>
      <c r="P5" s="6" t="inlineStr">
        <is>
          <t>00</t>
        </is>
      </c>
      <c r="Q5" s="6" t="inlineStr">
        <is>
          <t>260f5953-5ef8-4b0a-9ad0-aa82d14417c5</t>
        </is>
      </c>
      <c r="R5" s="9">
        <f>SUMIF(I4C_Incidents!$A:$A,$A5,I4C_Incidents!$H:$H)</f>
        <v/>
      </c>
      <c r="S5" s="10">
        <f>IF(ABS($O5-$R5)&lt;0.01,"OK","CHECK")</f>
        <v/>
      </c>
    </row>
    <row r="6">
      <c r="A6" s="6" t="inlineStr">
        <is>
          <t>31608230000005</t>
        </is>
      </c>
      <c r="B6" s="6" t="inlineStr">
        <is>
          <t>Business Email Compromise/Email Takeover</t>
        </is>
      </c>
      <c r="C6" s="6" t="inlineStr">
        <is>
          <t>I4C-MHA</t>
        </is>
      </c>
      <c r="D6" s="6" t="inlineStr">
        <is>
          <t>ICICI Bank</t>
        </is>
      </c>
      <c r="E6" s="6" t="n">
        <v>3</v>
      </c>
      <c r="F6" s="6" t="inlineStr">
        <is>
          <t>IMPS</t>
        </is>
      </c>
      <c r="G6" s="6" t="inlineStr">
        <is>
          <t>7809134316</t>
        </is>
      </c>
      <c r="H6" s="6" t="inlineStr">
        <is>
          <t>GG2KTBCUDSWX1J</t>
        </is>
      </c>
      <c r="I6" s="6" t="inlineStr">
        <is>
          <t>KARNATAKA</t>
        </is>
      </c>
      <c r="J6" s="6" t="inlineStr">
        <is>
          <t>Bengaluru Urban</t>
        </is>
      </c>
      <c r="K6" s="6" t="inlineStr">
        <is>
          <t>Mandatory</t>
        </is>
      </c>
      <c r="L6" s="6" t="inlineStr"/>
      <c r="M6" s="7" t="n">
        <v>45957.15972222222</v>
      </c>
      <c r="N6" s="6" t="n">
        <v>2</v>
      </c>
      <c r="O6" s="8" t="n">
        <v>10500.44</v>
      </c>
      <c r="P6" s="6" t="inlineStr">
        <is>
          <t>00</t>
        </is>
      </c>
      <c r="Q6" s="6" t="inlineStr">
        <is>
          <t>b84e9000-babf-4700-b34e-ccc2ca1554ce</t>
        </is>
      </c>
      <c r="R6" s="9">
        <f>SUMIF(I4C_Incidents!$A:$A,$A6,I4C_Incidents!$H:$H)</f>
        <v/>
      </c>
      <c r="S6" s="10">
        <f>IF(ABS($O6-$R6)&lt;0.01,"OK","CHECK")</f>
        <v/>
      </c>
    </row>
    <row r="7">
      <c r="A7" s="6" t="inlineStr">
        <is>
          <t>31608230000006</t>
        </is>
      </c>
      <c r="B7" s="6" t="inlineStr">
        <is>
          <t>Business Email Compromise/Email Takeover</t>
        </is>
      </c>
      <c r="C7" s="6" t="inlineStr">
        <is>
          <t>I4C-MHA</t>
        </is>
      </c>
      <c r="D7" s="6" t="inlineStr">
        <is>
          <t>Bank of Baroda</t>
        </is>
      </c>
      <c r="E7" s="6" t="n">
        <v>6</v>
      </c>
      <c r="F7" s="6" t="inlineStr">
        <is>
          <t>Debit/Credit</t>
        </is>
      </c>
      <c r="G7" s="6" t="inlineStr">
        <is>
          <t>7964053773</t>
        </is>
      </c>
      <c r="H7" s="6" t="inlineStr">
        <is>
          <t>XGX8WDZRMH3FNB</t>
        </is>
      </c>
      <c r="I7" s="6" t="inlineStr">
        <is>
          <t>DELHI</t>
        </is>
      </c>
      <c r="J7" s="6" t="inlineStr">
        <is>
          <t>South Delhi</t>
        </is>
      </c>
      <c r="K7" s="6" t="inlineStr">
        <is>
          <t>Mandatory</t>
        </is>
      </c>
      <c r="L7" s="6" t="inlineStr"/>
      <c r="M7" s="7" t="n">
        <v>45947.5625</v>
      </c>
      <c r="N7" s="6" t="n">
        <v>1</v>
      </c>
      <c r="O7" s="8" t="n">
        <v>250.86</v>
      </c>
      <c r="P7" s="6" t="inlineStr">
        <is>
          <t>00</t>
        </is>
      </c>
      <c r="Q7" s="6" t="inlineStr">
        <is>
          <t>87ad8bc0-8306-4d41-95e4-f3591d26c43f</t>
        </is>
      </c>
      <c r="R7" s="9">
        <f>SUMIF(I4C_Incidents!$A:$A,$A7,I4C_Incidents!$H:$H)</f>
        <v/>
      </c>
      <c r="S7" s="10">
        <f>IF(ABS($O7-$R7)&lt;0.01,"OK","CHECK")</f>
        <v/>
      </c>
    </row>
    <row r="8">
      <c r="A8" s="6" t="inlineStr">
        <is>
          <t>31608230000007</t>
        </is>
      </c>
      <c r="B8" s="6" t="inlineStr">
        <is>
          <t>UPI Related Frauds</t>
        </is>
      </c>
      <c r="C8" s="6" t="inlineStr">
        <is>
          <t>I4C-MHA</t>
        </is>
      </c>
      <c r="D8" s="6" t="inlineStr">
        <is>
          <t>State Bank of India</t>
        </is>
      </c>
      <c r="E8" s="6" t="n">
        <v>1</v>
      </c>
      <c r="F8" s="6" t="inlineStr">
        <is>
          <t>UPI</t>
        </is>
      </c>
      <c r="G8" s="6" t="inlineStr">
        <is>
          <t>9212499856</t>
        </is>
      </c>
      <c r="H8" s="6" t="inlineStr">
        <is>
          <t>7S361GH9N12O0V</t>
        </is>
      </c>
      <c r="I8" s="6" t="inlineStr">
        <is>
          <t>UTTAR PRADESH</t>
        </is>
      </c>
      <c r="J8" s="6" t="inlineStr">
        <is>
          <t>Lucknow</t>
        </is>
      </c>
      <c r="K8" s="6" t="inlineStr">
        <is>
          <t>Non Mandatory</t>
        </is>
      </c>
      <c r="L8" s="6" t="inlineStr">
        <is>
          <t>BHIM</t>
        </is>
      </c>
      <c r="M8" s="7" t="n">
        <v>45951.56597222222</v>
      </c>
      <c r="N8" s="6" t="n">
        <v>1</v>
      </c>
      <c r="O8" s="8" t="n">
        <v>4999.74</v>
      </c>
      <c r="P8" s="6" t="inlineStr">
        <is>
          <t>00</t>
        </is>
      </c>
      <c r="Q8" s="6" t="inlineStr">
        <is>
          <t>0797d398-04e1-458f-a273-42c1b0a09584</t>
        </is>
      </c>
      <c r="R8" s="9">
        <f>SUMIF(I4C_Incidents!$A:$A,$A8,I4C_Incidents!$H:$H)</f>
        <v/>
      </c>
      <c r="S8" s="10">
        <f>IF(ABS($O8-$R8)&lt;0.01,"OK","CHECK")</f>
        <v/>
      </c>
    </row>
    <row r="9">
      <c r="A9" s="6" t="inlineStr">
        <is>
          <t>31608230000008</t>
        </is>
      </c>
      <c r="B9" s="6" t="inlineStr">
        <is>
          <t>Business Email Compromise/Email Takeover</t>
        </is>
      </c>
      <c r="C9" s="6" t="inlineStr">
        <is>
          <t>I4C-MHA</t>
        </is>
      </c>
      <c r="D9" s="6" t="inlineStr">
        <is>
          <t>State Bank of India</t>
        </is>
      </c>
      <c r="E9" s="6" t="n">
        <v>1</v>
      </c>
      <c r="F9" s="6" t="inlineStr">
        <is>
          <t>Debit/Credit</t>
        </is>
      </c>
      <c r="G9" s="6" t="inlineStr">
        <is>
          <t>2961201836</t>
        </is>
      </c>
      <c r="H9" s="6" t="inlineStr">
        <is>
          <t>03VKXTUFDJKDFR</t>
        </is>
      </c>
      <c r="I9" s="6" t="inlineStr">
        <is>
          <t>UTTAR PRADESH</t>
        </is>
      </c>
      <c r="J9" s="6" t="inlineStr">
        <is>
          <t>Lucknow</t>
        </is>
      </c>
      <c r="K9" s="6" t="inlineStr">
        <is>
          <t>Mandatory</t>
        </is>
      </c>
      <c r="L9" s="6" t="inlineStr"/>
      <c r="M9" s="7" t="n">
        <v>45951.95833333334</v>
      </c>
      <c r="N9" s="6" t="n">
        <v>2</v>
      </c>
      <c r="O9" s="8" t="n">
        <v>1751.38</v>
      </c>
      <c r="P9" s="6" t="inlineStr">
        <is>
          <t>00</t>
        </is>
      </c>
      <c r="Q9" s="6" t="inlineStr">
        <is>
          <t>382fbbbe-527b-4d04-ae9f-ca5e0427223c</t>
        </is>
      </c>
      <c r="R9" s="9">
        <f>SUMIF(I4C_Incidents!$A:$A,$A9,I4C_Incidents!$H:$H)</f>
        <v/>
      </c>
      <c r="S9" s="10">
        <f>IF(ABS($O9-$R9)&lt;0.01,"OK","CHECK")</f>
        <v/>
      </c>
    </row>
    <row r="10">
      <c r="A10" s="6" t="inlineStr">
        <is>
          <t>31608230000009</t>
        </is>
      </c>
      <c r="B10" s="6" t="inlineStr">
        <is>
          <t>UPI Related Frauds</t>
        </is>
      </c>
      <c r="C10" s="6" t="inlineStr">
        <is>
          <t>I4C-MHA</t>
        </is>
      </c>
      <c r="D10" s="6" t="inlineStr">
        <is>
          <t>Axis Bank</t>
        </is>
      </c>
      <c r="E10" s="6" t="n">
        <v>4</v>
      </c>
      <c r="F10" s="6" t="inlineStr">
        <is>
          <t>IMPS</t>
        </is>
      </c>
      <c r="G10" s="6" t="inlineStr">
        <is>
          <t>3597820715</t>
        </is>
      </c>
      <c r="H10" s="6" t="inlineStr">
        <is>
          <t>F6LCP2277KXXSY</t>
        </is>
      </c>
      <c r="I10" s="6" t="inlineStr">
        <is>
          <t>WEST BENGAL</t>
        </is>
      </c>
      <c r="J10" s="6" t="inlineStr">
        <is>
          <t>Kolkata</t>
        </is>
      </c>
      <c r="K10" s="6" t="inlineStr">
        <is>
          <t>Non Mandatory</t>
        </is>
      </c>
      <c r="L10" s="6" t="inlineStr">
        <is>
          <t>Paytm</t>
        </is>
      </c>
      <c r="M10" s="7" t="n">
        <v>45960.39930555555</v>
      </c>
      <c r="N10" s="6" t="n">
        <v>1</v>
      </c>
      <c r="O10" s="8" t="n">
        <v>4999.14</v>
      </c>
      <c r="P10" s="6" t="inlineStr">
        <is>
          <t>00</t>
        </is>
      </c>
      <c r="Q10" s="6" t="inlineStr">
        <is>
          <t>8ebca7ef-f7dc-40cd-a99e-7537d57a4b40</t>
        </is>
      </c>
      <c r="R10" s="9">
        <f>SUMIF(I4C_Incidents!$A:$A,$A10,I4C_Incidents!$H:$H)</f>
        <v/>
      </c>
      <c r="S10" s="10">
        <f>IF(ABS($O10-$R10)&lt;0.01,"OK","CHECK")</f>
        <v/>
      </c>
    </row>
    <row r="11">
      <c r="A11" s="6" t="inlineStr">
        <is>
          <t>31608230000010</t>
        </is>
      </c>
      <c r="B11" s="6" t="inlineStr">
        <is>
          <t>Business Email Compromise/Email Takeover</t>
        </is>
      </c>
      <c r="C11" s="6" t="inlineStr">
        <is>
          <t>I4C-MHA</t>
        </is>
      </c>
      <c r="D11" s="6" t="inlineStr">
        <is>
          <t>Central Bank of India</t>
        </is>
      </c>
      <c r="E11" s="6" t="n">
        <v>10</v>
      </c>
      <c r="F11" s="6" t="inlineStr">
        <is>
          <t>UPI</t>
        </is>
      </c>
      <c r="G11" s="6" t="inlineStr">
        <is>
          <t>8862392407</t>
        </is>
      </c>
      <c r="H11" s="6" t="inlineStr">
        <is>
          <t>X9G7HSFKR26J1F</t>
        </is>
      </c>
      <c r="I11" s="6" t="inlineStr">
        <is>
          <t>KARNATAKA</t>
        </is>
      </c>
      <c r="J11" s="6" t="inlineStr">
        <is>
          <t>Bengaluru Urban</t>
        </is>
      </c>
      <c r="K11" s="6" t="inlineStr">
        <is>
          <t>Non Mandatory</t>
        </is>
      </c>
      <c r="L11" s="6" t="inlineStr">
        <is>
          <t>BHIM</t>
        </is>
      </c>
      <c r="M11" s="7" t="n">
        <v>45948.34375</v>
      </c>
      <c r="N11" s="6" t="n">
        <v>1</v>
      </c>
      <c r="O11" s="8" t="n">
        <v>9999.709999999999</v>
      </c>
      <c r="P11" s="6" t="inlineStr">
        <is>
          <t>00</t>
        </is>
      </c>
      <c r="Q11" s="6" t="inlineStr">
        <is>
          <t>7ccbb3c8-ddb8-415f-9d43-4be9e9a11433</t>
        </is>
      </c>
      <c r="R11" s="9">
        <f>SUMIF(I4C_Incidents!$A:$A,$A11,I4C_Incidents!$H:$H)</f>
        <v/>
      </c>
      <c r="S11" s="10">
        <f>IF(ABS($O11-$R11)&lt;0.01,"OK","CHECK")</f>
        <v/>
      </c>
    </row>
    <row r="12">
      <c r="A12" s="6" t="inlineStr">
        <is>
          <t>31608230000011</t>
        </is>
      </c>
      <c r="B12" s="6" t="inlineStr">
        <is>
          <t>UPI Related Frauds</t>
        </is>
      </c>
      <c r="C12" s="6" t="inlineStr">
        <is>
          <t>I4C-MHA</t>
        </is>
      </c>
      <c r="D12" s="6" t="inlineStr">
        <is>
          <t>Axis Bank</t>
        </is>
      </c>
      <c r="E12" s="6" t="n">
        <v>4</v>
      </c>
      <c r="F12" s="6" t="inlineStr">
        <is>
          <t>UPI</t>
        </is>
      </c>
      <c r="G12" s="6" t="inlineStr">
        <is>
          <t>0654051531</t>
        </is>
      </c>
      <c r="H12" s="6" t="inlineStr">
        <is>
          <t>VICW8VL34LIE3C</t>
        </is>
      </c>
      <c r="I12" s="6" t="inlineStr">
        <is>
          <t>TELANGANA</t>
        </is>
      </c>
      <c r="J12" s="6" t="inlineStr">
        <is>
          <t>Hyderabad</t>
        </is>
      </c>
      <c r="K12" s="6" t="inlineStr">
        <is>
          <t>Non Mandatory</t>
        </is>
      </c>
      <c r="L12" s="6" t="inlineStr">
        <is>
          <t>Google Pay</t>
        </is>
      </c>
      <c r="M12" s="7" t="n">
        <v>45933.5</v>
      </c>
      <c r="N12" s="6" t="n">
        <v>1</v>
      </c>
      <c r="O12" s="8" t="n">
        <v>9999.66</v>
      </c>
      <c r="P12" s="6" t="inlineStr">
        <is>
          <t>00</t>
        </is>
      </c>
      <c r="Q12" s="6" t="inlineStr">
        <is>
          <t>f2a9ed34-112d-43e1-99ae-06af4acc27ef</t>
        </is>
      </c>
      <c r="R12" s="9">
        <f>SUMIF(I4C_Incidents!$A:$A,$A12,I4C_Incidents!$H:$H)</f>
        <v/>
      </c>
      <c r="S12" s="10">
        <f>IF(ABS($O12-$R12)&lt;0.01,"OK","CHECK")</f>
        <v/>
      </c>
    </row>
    <row r="13">
      <c r="A13" s="6" t="inlineStr">
        <is>
          <t>31608230000012</t>
        </is>
      </c>
      <c r="B13" s="6" t="inlineStr">
        <is>
          <t>UPI Related Frauds</t>
        </is>
      </c>
      <c r="C13" s="6" t="inlineStr">
        <is>
          <t>I4C-MHA</t>
        </is>
      </c>
      <c r="D13" s="6" t="inlineStr">
        <is>
          <t>Punjab National Bank</t>
        </is>
      </c>
      <c r="E13" s="6" t="n">
        <v>5</v>
      </c>
      <c r="F13" s="6" t="inlineStr">
        <is>
          <t>UPI</t>
        </is>
      </c>
      <c r="G13" s="6" t="inlineStr">
        <is>
          <t>6543102786</t>
        </is>
      </c>
      <c r="H13" s="6" t="inlineStr">
        <is>
          <t>9HQQ2NS5MHIE2L</t>
        </is>
      </c>
      <c r="I13" s="6" t="inlineStr">
        <is>
          <t>UTTAR PRADESH</t>
        </is>
      </c>
      <c r="J13" s="6" t="inlineStr">
        <is>
          <t>Lucknow</t>
        </is>
      </c>
      <c r="K13" s="6" t="inlineStr">
        <is>
          <t>Mandatory</t>
        </is>
      </c>
      <c r="L13" s="6" t="inlineStr">
        <is>
          <t>PhonePe</t>
        </is>
      </c>
      <c r="M13" s="7" t="n">
        <v>45946.88888888889</v>
      </c>
      <c r="N13" s="6" t="n">
        <v>2</v>
      </c>
      <c r="O13" s="8" t="n">
        <v>198.95</v>
      </c>
      <c r="P13" s="6" t="inlineStr">
        <is>
          <t>00</t>
        </is>
      </c>
      <c r="Q13" s="6" t="inlineStr">
        <is>
          <t>fb1b1cf6-96ac-46a4-84ac-3eacc39b2bd8</t>
        </is>
      </c>
      <c r="R13" s="9">
        <f>SUMIF(I4C_Incidents!$A:$A,$A13,I4C_Incidents!$H:$H)</f>
        <v/>
      </c>
      <c r="S13" s="10">
        <f>IF(ABS($O13-$R13)&lt;0.01,"OK","CHECK")</f>
        <v/>
      </c>
    </row>
    <row r="14">
      <c r="A14" s="6" t="inlineStr">
        <is>
          <t>31608230000013</t>
        </is>
      </c>
      <c r="B14" s="6" t="inlineStr">
        <is>
          <t>Business Email Compromise/Email Takeover</t>
        </is>
      </c>
      <c r="C14" s="6" t="inlineStr">
        <is>
          <t>I4C-MHA</t>
        </is>
      </c>
      <c r="D14" s="6" t="inlineStr">
        <is>
          <t>Axis Bank</t>
        </is>
      </c>
      <c r="E14" s="6" t="n">
        <v>4</v>
      </c>
      <c r="F14" s="6" t="inlineStr">
        <is>
          <t>IMPS</t>
        </is>
      </c>
      <c r="G14" s="6" t="inlineStr">
        <is>
          <t>6325953278</t>
        </is>
      </c>
      <c r="H14" s="6" t="inlineStr">
        <is>
          <t>35T5BFZ63PNWDD</t>
        </is>
      </c>
      <c r="I14" s="6" t="inlineStr">
        <is>
          <t>TELANGANA</t>
        </is>
      </c>
      <c r="J14" s="6" t="inlineStr">
        <is>
          <t>Hyderabad</t>
        </is>
      </c>
      <c r="K14" s="6" t="inlineStr">
        <is>
          <t>Mandatory</t>
        </is>
      </c>
      <c r="L14" s="6" t="inlineStr"/>
      <c r="M14" s="7" t="n">
        <v>45955.39930555555</v>
      </c>
      <c r="N14" s="6" t="n">
        <v>3</v>
      </c>
      <c r="O14" s="8" t="n">
        <v>234.72</v>
      </c>
      <c r="P14" s="6" t="inlineStr">
        <is>
          <t>00</t>
        </is>
      </c>
      <c r="Q14" s="6" t="inlineStr">
        <is>
          <t>17c42136-f082-48bc-b610-0672d0d42072</t>
        </is>
      </c>
      <c r="R14" s="9">
        <f>SUMIF(I4C_Incidents!$A:$A,$A14,I4C_Incidents!$H:$H)</f>
        <v/>
      </c>
      <c r="S14" s="10">
        <f>IF(ABS($O14-$R14)&lt;0.01,"OK","CHECK")</f>
        <v/>
      </c>
    </row>
    <row r="15">
      <c r="A15" s="6" t="inlineStr">
        <is>
          <t>31608230000014</t>
        </is>
      </c>
      <c r="B15" s="6" t="inlineStr">
        <is>
          <t>Business Email Compromise/Email Takeover</t>
        </is>
      </c>
      <c r="C15" s="6" t="inlineStr">
        <is>
          <t>I4C-MHA</t>
        </is>
      </c>
      <c r="D15" s="6" t="inlineStr">
        <is>
          <t>Axis Bank</t>
        </is>
      </c>
      <c r="E15" s="6" t="n">
        <v>4</v>
      </c>
      <c r="F15" s="6" t="inlineStr">
        <is>
          <t>UPI</t>
        </is>
      </c>
      <c r="G15" s="6" t="inlineStr">
        <is>
          <t>2404157473</t>
        </is>
      </c>
      <c r="H15" s="6" t="inlineStr">
        <is>
          <t>M8R9RIGPPD7OOD</t>
        </is>
      </c>
      <c r="I15" s="6" t="inlineStr">
        <is>
          <t>MAHARASHTRA</t>
        </is>
      </c>
      <c r="J15" s="6" t="inlineStr">
        <is>
          <t>Pune</t>
        </is>
      </c>
      <c r="K15" s="6" t="inlineStr">
        <is>
          <t>Non Mandatory</t>
        </is>
      </c>
      <c r="L15" s="6" t="inlineStr">
        <is>
          <t>BHIM</t>
        </is>
      </c>
      <c r="M15" s="7" t="n">
        <v>45947.40625</v>
      </c>
      <c r="N15" s="6" t="n">
        <v>2</v>
      </c>
      <c r="O15" s="8" t="n">
        <v>19998.39</v>
      </c>
      <c r="P15" s="6" t="inlineStr">
        <is>
          <t>00</t>
        </is>
      </c>
      <c r="Q15" s="6" t="inlineStr">
        <is>
          <t>85909e1c-12aa-470f-981c-2741dccddf7f</t>
        </is>
      </c>
      <c r="R15" s="9">
        <f>SUMIF(I4C_Incidents!$A:$A,$A15,I4C_Incidents!$H:$H)</f>
        <v/>
      </c>
      <c r="S15" s="10">
        <f>IF(ABS($O15-$R15)&lt;0.01,"OK","CHECK")</f>
        <v/>
      </c>
    </row>
    <row r="16">
      <c r="A16" s="6" t="inlineStr">
        <is>
          <t>31608230000015</t>
        </is>
      </c>
      <c r="B16" s="6" t="inlineStr">
        <is>
          <t>Business Email Compromise/Email Takeover</t>
        </is>
      </c>
      <c r="C16" s="6" t="inlineStr">
        <is>
          <t>I4C-MHA</t>
        </is>
      </c>
      <c r="D16" s="6" t="inlineStr">
        <is>
          <t>HDFC Bank</t>
        </is>
      </c>
      <c r="E16" s="6" t="n">
        <v>2</v>
      </c>
      <c r="F16" s="6" t="inlineStr">
        <is>
          <t>UPI</t>
        </is>
      </c>
      <c r="G16" s="6" t="inlineStr">
        <is>
          <t>8414593327</t>
        </is>
      </c>
      <c r="H16" s="6" t="inlineStr">
        <is>
          <t>J3X0948NPF727X</t>
        </is>
      </c>
      <c r="I16" s="6" t="inlineStr">
        <is>
          <t>MAHARASHTRA</t>
        </is>
      </c>
      <c r="J16" s="6" t="inlineStr">
        <is>
          <t>Pune</t>
        </is>
      </c>
      <c r="K16" s="6" t="inlineStr">
        <is>
          <t>Non Mandatory</t>
        </is>
      </c>
      <c r="L16" s="6" t="inlineStr">
        <is>
          <t>Amazon Pay</t>
        </is>
      </c>
      <c r="M16" s="7" t="n">
        <v>45936.81944444445</v>
      </c>
      <c r="N16" s="6" t="n">
        <v>1</v>
      </c>
      <c r="O16" s="8" t="n">
        <v>500.09</v>
      </c>
      <c r="P16" s="6" t="inlineStr">
        <is>
          <t>00</t>
        </is>
      </c>
      <c r="Q16" s="6" t="inlineStr">
        <is>
          <t>e1bf6439-b35d-4699-8f1a-9e23440e90aa</t>
        </is>
      </c>
      <c r="R16" s="9">
        <f>SUMIF(I4C_Incidents!$A:$A,$A16,I4C_Incidents!$H:$H)</f>
        <v/>
      </c>
      <c r="S16" s="10">
        <f>IF(ABS($O16-$R16)&lt;0.01,"OK","CHECK")</f>
        <v/>
      </c>
    </row>
    <row r="17">
      <c r="A17" s="6" t="inlineStr">
        <is>
          <t>31608230000016</t>
        </is>
      </c>
      <c r="B17" s="6" t="inlineStr">
        <is>
          <t>Business Email Compromise/Email Takeover</t>
        </is>
      </c>
      <c r="C17" s="6" t="inlineStr">
        <is>
          <t>I4C-MHA</t>
        </is>
      </c>
      <c r="D17" s="6" t="inlineStr">
        <is>
          <t>Bank of Baroda</t>
        </is>
      </c>
      <c r="E17" s="6" t="n">
        <v>6</v>
      </c>
      <c r="F17" s="6" t="inlineStr">
        <is>
          <t>IMPS</t>
        </is>
      </c>
      <c r="G17" s="6" t="inlineStr">
        <is>
          <t>8686337524</t>
        </is>
      </c>
      <c r="H17" s="6" t="inlineStr">
        <is>
          <t>MHC0BPNEGC2DPC</t>
        </is>
      </c>
      <c r="I17" s="6" t="inlineStr">
        <is>
          <t>WEST BENGAL</t>
        </is>
      </c>
      <c r="J17" s="6" t="inlineStr">
        <is>
          <t>Kolkata</t>
        </is>
      </c>
      <c r="K17" s="6" t="inlineStr">
        <is>
          <t>Non Mandatory</t>
        </is>
      </c>
      <c r="L17" s="6" t="inlineStr"/>
      <c r="M17" s="7" t="n">
        <v>45952.68402777778</v>
      </c>
      <c r="N17" s="6" t="n">
        <v>1</v>
      </c>
      <c r="O17" s="8" t="n">
        <v>250.88</v>
      </c>
      <c r="P17" s="6" t="inlineStr">
        <is>
          <t>00</t>
        </is>
      </c>
      <c r="Q17" s="6" t="inlineStr">
        <is>
          <t>79a28af4-62f8-4124-bbf2-32c6e9d92329</t>
        </is>
      </c>
      <c r="R17" s="9">
        <f>SUMIF(I4C_Incidents!$A:$A,$A17,I4C_Incidents!$H:$H)</f>
        <v/>
      </c>
      <c r="S17" s="10">
        <f>IF(ABS($O17-$R17)&lt;0.01,"OK","CHECK")</f>
        <v/>
      </c>
    </row>
    <row r="18">
      <c r="A18" s="6" t="inlineStr">
        <is>
          <t>31608230000017</t>
        </is>
      </c>
      <c r="B18" s="6" t="inlineStr">
        <is>
          <t>Business Email Compromise/Email Takeover</t>
        </is>
      </c>
      <c r="C18" s="6" t="inlineStr">
        <is>
          <t>I4C-MHA</t>
        </is>
      </c>
      <c r="D18" s="6" t="inlineStr">
        <is>
          <t>State Bank of India</t>
        </is>
      </c>
      <c r="E18" s="6" t="n">
        <v>1</v>
      </c>
      <c r="F18" s="6" t="inlineStr">
        <is>
          <t>Debit/Credit</t>
        </is>
      </c>
      <c r="G18" s="6" t="inlineStr">
        <is>
          <t>3173936385</t>
        </is>
      </c>
      <c r="H18" s="6" t="inlineStr">
        <is>
          <t>SY38WTQX653G4U</t>
        </is>
      </c>
      <c r="I18" s="6" t="inlineStr">
        <is>
          <t>KARNATAKA</t>
        </is>
      </c>
      <c r="J18" s="6" t="inlineStr">
        <is>
          <t>Bengaluru Urban</t>
        </is>
      </c>
      <c r="K18" s="6" t="inlineStr">
        <is>
          <t>Non Mandatory</t>
        </is>
      </c>
      <c r="L18" s="6" t="inlineStr"/>
      <c r="M18" s="7" t="n">
        <v>45949.36805555555</v>
      </c>
      <c r="N18" s="6" t="n">
        <v>2</v>
      </c>
      <c r="O18" s="8" t="n">
        <v>5099</v>
      </c>
      <c r="P18" s="6" t="inlineStr">
        <is>
          <t>00</t>
        </is>
      </c>
      <c r="Q18" s="6" t="inlineStr">
        <is>
          <t>8f9d0193-d0ef-4ff0-8143-60e737c9760e</t>
        </is>
      </c>
      <c r="R18" s="9">
        <f>SUMIF(I4C_Incidents!$A:$A,$A18,I4C_Incidents!$H:$H)</f>
        <v/>
      </c>
      <c r="S18" s="10">
        <f>IF(ABS($O18-$R18)&lt;0.01,"OK","CHECK")</f>
        <v/>
      </c>
    </row>
    <row r="19">
      <c r="A19" s="6" t="inlineStr">
        <is>
          <t>31608230000018</t>
        </is>
      </c>
      <c r="B19" s="6" t="inlineStr">
        <is>
          <t>Business Email Compromise/Email Takeover</t>
        </is>
      </c>
      <c r="C19" s="6" t="inlineStr">
        <is>
          <t>I4C-MHA</t>
        </is>
      </c>
      <c r="D19" s="6" t="inlineStr">
        <is>
          <t>Axis Bank</t>
        </is>
      </c>
      <c r="E19" s="6" t="n">
        <v>4</v>
      </c>
      <c r="F19" s="6" t="inlineStr">
        <is>
          <t>Debit/Credit</t>
        </is>
      </c>
      <c r="G19" s="6" t="inlineStr">
        <is>
          <t>5866296194</t>
        </is>
      </c>
      <c r="H19" s="6" t="inlineStr">
        <is>
          <t>PEFRJYJYUXGFAT</t>
        </is>
      </c>
      <c r="I19" s="6" t="inlineStr">
        <is>
          <t>UTTAR PRADESH</t>
        </is>
      </c>
      <c r="J19" s="6" t="inlineStr">
        <is>
          <t>Lucknow</t>
        </is>
      </c>
      <c r="K19" s="6" t="inlineStr">
        <is>
          <t>Mandatory</t>
        </is>
      </c>
      <c r="L19" s="6" t="inlineStr"/>
      <c r="M19" s="7" t="n">
        <v>45948.84722222222</v>
      </c>
      <c r="N19" s="6" t="n">
        <v>2</v>
      </c>
      <c r="O19" s="8" t="n">
        <v>350.01</v>
      </c>
      <c r="P19" s="6" t="inlineStr">
        <is>
          <t>00</t>
        </is>
      </c>
      <c r="Q19" s="6" t="inlineStr">
        <is>
          <t>a392623d-7711-4020-a2c9-793555384b0b</t>
        </is>
      </c>
      <c r="R19" s="9">
        <f>SUMIF(I4C_Incidents!$A:$A,$A19,I4C_Incidents!$H:$H)</f>
        <v/>
      </c>
      <c r="S19" s="10">
        <f>IF(ABS($O19-$R19)&lt;0.01,"OK","CHECK")</f>
        <v/>
      </c>
    </row>
    <row r="20">
      <c r="A20" s="6" t="inlineStr">
        <is>
          <t>31608230000019</t>
        </is>
      </c>
      <c r="B20" s="6" t="inlineStr">
        <is>
          <t>UPI Related Frauds</t>
        </is>
      </c>
      <c r="C20" s="6" t="inlineStr">
        <is>
          <t>I4C-MHA</t>
        </is>
      </c>
      <c r="D20" s="6" t="inlineStr">
        <is>
          <t>Punjab National Bank</t>
        </is>
      </c>
      <c r="E20" s="6" t="n">
        <v>5</v>
      </c>
      <c r="F20" s="6" t="inlineStr">
        <is>
          <t>IMPS</t>
        </is>
      </c>
      <c r="G20" s="6" t="inlineStr">
        <is>
          <t>6561014388</t>
        </is>
      </c>
      <c r="H20" s="6" t="inlineStr">
        <is>
          <t>9O2XZ36JWB4GS0</t>
        </is>
      </c>
      <c r="I20" s="6" t="inlineStr">
        <is>
          <t>MAHARASHTRA</t>
        </is>
      </c>
      <c r="J20" s="6" t="inlineStr">
        <is>
          <t>Pune</t>
        </is>
      </c>
      <c r="K20" s="6" t="inlineStr">
        <is>
          <t>Mandatory</t>
        </is>
      </c>
      <c r="L20" s="6" t="inlineStr">
        <is>
          <t>PhonePe</t>
        </is>
      </c>
      <c r="M20" s="7" t="n">
        <v>45938.25</v>
      </c>
      <c r="N20" s="6" t="n">
        <v>2</v>
      </c>
      <c r="O20" s="8" t="n">
        <v>349.41</v>
      </c>
      <c r="P20" s="6" t="inlineStr">
        <is>
          <t>00</t>
        </is>
      </c>
      <c r="Q20" s="6" t="inlineStr">
        <is>
          <t>5c2cbf12-f130-47b1-a973-31250ad54c30</t>
        </is>
      </c>
      <c r="R20" s="9">
        <f>SUMIF(I4C_Incidents!$A:$A,$A20,I4C_Incidents!$H:$H)</f>
        <v/>
      </c>
      <c r="S20" s="10">
        <f>IF(ABS($O20-$R20)&lt;0.01,"OK","CHECK")</f>
        <v/>
      </c>
    </row>
    <row r="21">
      <c r="A21" s="6" t="inlineStr">
        <is>
          <t>31608230000020</t>
        </is>
      </c>
      <c r="B21" s="6" t="inlineStr">
        <is>
          <t>UPI Related Frauds</t>
        </is>
      </c>
      <c r="C21" s="6" t="inlineStr">
        <is>
          <t>I4C-MHA</t>
        </is>
      </c>
      <c r="D21" s="6" t="inlineStr">
        <is>
          <t>Axis Bank</t>
        </is>
      </c>
      <c r="E21" s="6" t="n">
        <v>4</v>
      </c>
      <c r="F21" s="6" t="inlineStr">
        <is>
          <t>Debit/Credit</t>
        </is>
      </c>
      <c r="G21" s="6" t="inlineStr">
        <is>
          <t>3688767677</t>
        </is>
      </c>
      <c r="H21" s="6" t="inlineStr">
        <is>
          <t>KFBOSCRO8SK359</t>
        </is>
      </c>
      <c r="I21" s="6" t="inlineStr">
        <is>
          <t>MAHARASHTRA</t>
        </is>
      </c>
      <c r="J21" s="6" t="inlineStr">
        <is>
          <t>Pune</t>
        </is>
      </c>
      <c r="K21" s="6" t="inlineStr">
        <is>
          <t>Mandatory</t>
        </is>
      </c>
      <c r="L21" s="6" t="inlineStr">
        <is>
          <t>Amazon Pay</t>
        </is>
      </c>
      <c r="M21" s="7" t="n">
        <v>45936.91666666666</v>
      </c>
      <c r="N21" s="6" t="n">
        <v>2</v>
      </c>
      <c r="O21" s="8" t="n">
        <v>350.06</v>
      </c>
      <c r="P21" s="6" t="inlineStr">
        <is>
          <t>00</t>
        </is>
      </c>
      <c r="Q21" s="6" t="inlineStr">
        <is>
          <t>847dbb0e-b66b-41c0-b403-75ca9ecdc286</t>
        </is>
      </c>
      <c r="R21" s="9">
        <f>SUMIF(I4C_Incidents!$A:$A,$A21,I4C_Incidents!$H:$H)</f>
        <v/>
      </c>
      <c r="S21" s="10">
        <f>IF(ABS($O21-$R21)&lt;0.01,"OK","CHECK")</f>
        <v/>
      </c>
    </row>
    <row r="22">
      <c r="A22" s="6" t="inlineStr">
        <is>
          <t>31608230000021</t>
        </is>
      </c>
      <c r="B22" s="6" t="inlineStr">
        <is>
          <t>Business Email Compromise/Email Takeover</t>
        </is>
      </c>
      <c r="C22" s="6" t="inlineStr">
        <is>
          <t>I4C-MHA</t>
        </is>
      </c>
      <c r="D22" s="6" t="inlineStr">
        <is>
          <t>State Bank of India</t>
        </is>
      </c>
      <c r="E22" s="6" t="n">
        <v>1</v>
      </c>
      <c r="F22" s="6" t="inlineStr">
        <is>
          <t>IMPS</t>
        </is>
      </c>
      <c r="G22" s="6" t="inlineStr">
        <is>
          <t>5415206436</t>
        </is>
      </c>
      <c r="H22" s="6" t="inlineStr">
        <is>
          <t>FGAN4EIO72AAVH</t>
        </is>
      </c>
      <c r="I22" s="6" t="inlineStr">
        <is>
          <t>WEST BENGAL</t>
        </is>
      </c>
      <c r="J22" s="6" t="inlineStr">
        <is>
          <t>Kolkata</t>
        </is>
      </c>
      <c r="K22" s="6" t="inlineStr">
        <is>
          <t>Non Mandatory</t>
        </is>
      </c>
      <c r="L22" s="6" t="inlineStr"/>
      <c r="M22" s="7" t="n">
        <v>45937.78819444445</v>
      </c>
      <c r="N22" s="6" t="n">
        <v>2</v>
      </c>
      <c r="O22" s="8" t="n">
        <v>135.28</v>
      </c>
      <c r="P22" s="6" t="inlineStr">
        <is>
          <t>00</t>
        </is>
      </c>
      <c r="Q22" s="6" t="inlineStr">
        <is>
          <t>cc2c80ef-e1cd-4a3f-a6fe-9aad3850ab1b</t>
        </is>
      </c>
      <c r="R22" s="9">
        <f>SUMIF(I4C_Incidents!$A:$A,$A22,I4C_Incidents!$H:$H)</f>
        <v/>
      </c>
      <c r="S22" s="10">
        <f>IF(ABS($O22-$R22)&lt;0.01,"OK","CHECK")</f>
        <v/>
      </c>
    </row>
    <row r="23">
      <c r="A23" s="6" t="inlineStr">
        <is>
          <t>31608230000022</t>
        </is>
      </c>
      <c r="B23" s="6" t="inlineStr">
        <is>
          <t>Business Email Compromise/Email Takeover</t>
        </is>
      </c>
      <c r="C23" s="6" t="inlineStr">
        <is>
          <t>I4C-MHA</t>
        </is>
      </c>
      <c r="D23" s="6" t="inlineStr">
        <is>
          <t>Bank of Baroda</t>
        </is>
      </c>
      <c r="E23" s="6" t="n">
        <v>6</v>
      </c>
      <c r="F23" s="6" t="inlineStr">
        <is>
          <t>UPI</t>
        </is>
      </c>
      <c r="G23" s="6" t="inlineStr">
        <is>
          <t>3031617990</t>
        </is>
      </c>
      <c r="H23" s="6" t="inlineStr">
        <is>
          <t>TLHAIAK5W77QKX</t>
        </is>
      </c>
      <c r="I23" s="6" t="inlineStr">
        <is>
          <t>GUJARAT</t>
        </is>
      </c>
      <c r="J23" s="6" t="inlineStr">
        <is>
          <t>Surat</t>
        </is>
      </c>
      <c r="K23" s="6" t="inlineStr">
        <is>
          <t>Mandatory</t>
        </is>
      </c>
      <c r="L23" s="6" t="inlineStr">
        <is>
          <t>Paytm</t>
        </is>
      </c>
      <c r="M23" s="7" t="n">
        <v>45937.10416666666</v>
      </c>
      <c r="N23" s="6" t="n">
        <v>1</v>
      </c>
      <c r="O23" s="8" t="n">
        <v>500.86</v>
      </c>
      <c r="P23" s="6" t="inlineStr">
        <is>
          <t>00</t>
        </is>
      </c>
      <c r="Q23" s="6" t="inlineStr">
        <is>
          <t>c448c5ea-5f48-4c6a-bd8f-92d098983753</t>
        </is>
      </c>
      <c r="R23" s="9">
        <f>SUMIF(I4C_Incidents!$A:$A,$A23,I4C_Incidents!$H:$H)</f>
        <v/>
      </c>
      <c r="S23" s="10">
        <f>IF(ABS($O23-$R23)&lt;0.01,"OK","CHECK")</f>
        <v/>
      </c>
    </row>
    <row r="24">
      <c r="A24" s="6" t="inlineStr">
        <is>
          <t>31608230000023</t>
        </is>
      </c>
      <c r="B24" s="6" t="inlineStr">
        <is>
          <t>Business Email Compromise/Email Takeover</t>
        </is>
      </c>
      <c r="C24" s="6" t="inlineStr">
        <is>
          <t>I4C-MHA</t>
        </is>
      </c>
      <c r="D24" s="6" t="inlineStr">
        <is>
          <t>State Bank of India</t>
        </is>
      </c>
      <c r="E24" s="6" t="n">
        <v>1</v>
      </c>
      <c r="F24" s="6" t="inlineStr">
        <is>
          <t>IMPS</t>
        </is>
      </c>
      <c r="G24" s="6" t="inlineStr">
        <is>
          <t>0238061744</t>
        </is>
      </c>
      <c r="H24" s="6" t="inlineStr">
        <is>
          <t>UF93AXMSTP3X5M</t>
        </is>
      </c>
      <c r="I24" s="6" t="inlineStr">
        <is>
          <t>KARNATAKA</t>
        </is>
      </c>
      <c r="J24" s="6" t="inlineStr">
        <is>
          <t>Bengaluru Urban</t>
        </is>
      </c>
      <c r="K24" s="6" t="inlineStr">
        <is>
          <t>Mandatory</t>
        </is>
      </c>
      <c r="L24" s="6" t="inlineStr"/>
      <c r="M24" s="7" t="n">
        <v>45938.68402777778</v>
      </c>
      <c r="N24" s="6" t="n">
        <v>1</v>
      </c>
      <c r="O24" s="8" t="n">
        <v>99.42</v>
      </c>
      <c r="P24" s="6" t="inlineStr">
        <is>
          <t>00</t>
        </is>
      </c>
      <c r="Q24" s="6" t="inlineStr">
        <is>
          <t>cf64d3e6-8e1a-4394-9bf7-a06993c80807</t>
        </is>
      </c>
      <c r="R24" s="9">
        <f>SUMIF(I4C_Incidents!$A:$A,$A24,I4C_Incidents!$H:$H)</f>
        <v/>
      </c>
      <c r="S24" s="10">
        <f>IF(ABS($O24-$R24)&lt;0.01,"OK","CHECK")</f>
        <v/>
      </c>
    </row>
    <row r="25">
      <c r="A25" s="6" t="inlineStr">
        <is>
          <t>31608230000024</t>
        </is>
      </c>
      <c r="B25" s="6" t="inlineStr">
        <is>
          <t>Business Email Compromise/Email Takeover</t>
        </is>
      </c>
      <c r="C25" s="6" t="inlineStr">
        <is>
          <t>I4C-MHA</t>
        </is>
      </c>
      <c r="D25" s="6" t="inlineStr">
        <is>
          <t>State Bank of India</t>
        </is>
      </c>
      <c r="E25" s="6" t="n">
        <v>1</v>
      </c>
      <c r="F25" s="6" t="inlineStr">
        <is>
          <t>IMPS</t>
        </is>
      </c>
      <c r="G25" s="6" t="inlineStr">
        <is>
          <t>5374741124</t>
        </is>
      </c>
      <c r="H25" s="6" t="inlineStr">
        <is>
          <t>CNUJFPWZ6DTQLB</t>
        </is>
      </c>
      <c r="I25" s="6" t="inlineStr">
        <is>
          <t>WEST BENGAL</t>
        </is>
      </c>
      <c r="J25" s="6" t="inlineStr">
        <is>
          <t>Kolkata</t>
        </is>
      </c>
      <c r="K25" s="6" t="inlineStr">
        <is>
          <t>Non Mandatory</t>
        </is>
      </c>
      <c r="L25" s="6" t="inlineStr"/>
      <c r="M25" s="7" t="n">
        <v>45953.32638888889</v>
      </c>
      <c r="N25" s="6" t="n">
        <v>3</v>
      </c>
      <c r="O25" s="8" t="n">
        <v>15249.57</v>
      </c>
      <c r="P25" s="6" t="inlineStr">
        <is>
          <t>00</t>
        </is>
      </c>
      <c r="Q25" s="6" t="inlineStr">
        <is>
          <t>fd508175-47e4-4db9-9acc-f5b2c60a8ea5</t>
        </is>
      </c>
      <c r="R25" s="9">
        <f>SUMIF(I4C_Incidents!$A:$A,$A25,I4C_Incidents!$H:$H)</f>
        <v/>
      </c>
      <c r="S25" s="10">
        <f>IF(ABS($O25-$R25)&lt;0.01,"OK","CHECK")</f>
        <v/>
      </c>
    </row>
    <row r="26">
      <c r="A26" s="6" t="inlineStr">
        <is>
          <t>31608230000025</t>
        </is>
      </c>
      <c r="B26" s="6" t="inlineStr">
        <is>
          <t>Business Email Compromise/Email Takeover</t>
        </is>
      </c>
      <c r="C26" s="6" t="inlineStr">
        <is>
          <t>I4C-MHA</t>
        </is>
      </c>
      <c r="D26" s="6" t="inlineStr">
        <is>
          <t>State Bank of India</t>
        </is>
      </c>
      <c r="E26" s="6" t="n">
        <v>1</v>
      </c>
      <c r="F26" s="6" t="inlineStr">
        <is>
          <t>UPI</t>
        </is>
      </c>
      <c r="G26" s="6" t="inlineStr">
        <is>
          <t>6915452267</t>
        </is>
      </c>
      <c r="H26" s="6" t="inlineStr">
        <is>
          <t>UL9WOLYTSILAZC</t>
        </is>
      </c>
      <c r="I26" s="6" t="inlineStr">
        <is>
          <t>GUJARAT</t>
        </is>
      </c>
      <c r="J26" s="6" t="inlineStr">
        <is>
          <t>Surat</t>
        </is>
      </c>
      <c r="K26" s="6" t="inlineStr">
        <is>
          <t>Mandatory</t>
        </is>
      </c>
      <c r="L26" s="6" t="inlineStr">
        <is>
          <t>Amazon Pay</t>
        </is>
      </c>
      <c r="M26" s="7" t="n">
        <v>45946.81944444445</v>
      </c>
      <c r="N26" s="6" t="n">
        <v>3</v>
      </c>
      <c r="O26" s="8" t="n">
        <v>5598.19</v>
      </c>
      <c r="P26" s="6" t="inlineStr">
        <is>
          <t>00</t>
        </is>
      </c>
      <c r="Q26" s="6" t="inlineStr">
        <is>
          <t>e6020150-28c4-4133-b8bf-8b84494d3c11</t>
        </is>
      </c>
      <c r="R26" s="9">
        <f>SUMIF(I4C_Incidents!$A:$A,$A26,I4C_Incidents!$H:$H)</f>
        <v/>
      </c>
      <c r="S26" s="10">
        <f>IF(ABS($O26-$R26)&lt;0.01,"OK","CHECK")</f>
        <v/>
      </c>
    </row>
    <row r="27">
      <c r="A27" s="6" t="inlineStr">
        <is>
          <t>31608230000026</t>
        </is>
      </c>
      <c r="B27" s="6" t="inlineStr">
        <is>
          <t>Business Email Compromise/Email Takeover</t>
        </is>
      </c>
      <c r="C27" s="6" t="inlineStr">
        <is>
          <t>I4C-MHA</t>
        </is>
      </c>
      <c r="D27" s="6" t="inlineStr">
        <is>
          <t>State Bank of India</t>
        </is>
      </c>
      <c r="E27" s="6" t="n">
        <v>1</v>
      </c>
      <c r="F27" s="6" t="inlineStr">
        <is>
          <t>IMPS</t>
        </is>
      </c>
      <c r="G27" s="6" t="inlineStr">
        <is>
          <t>6329451168</t>
        </is>
      </c>
      <c r="H27" s="6" t="inlineStr">
        <is>
          <t>Z9UR73A70H0JJG</t>
        </is>
      </c>
      <c r="I27" s="6" t="inlineStr">
        <is>
          <t>MAHARASHTRA</t>
        </is>
      </c>
      <c r="J27" s="6" t="inlineStr">
        <is>
          <t>Pune</t>
        </is>
      </c>
      <c r="K27" s="6" t="inlineStr">
        <is>
          <t>Mandatory</t>
        </is>
      </c>
      <c r="L27" s="6" t="inlineStr"/>
      <c r="M27" s="7" t="n">
        <v>45958.6875</v>
      </c>
      <c r="N27" s="6" t="n">
        <v>1</v>
      </c>
      <c r="O27" s="8" t="n">
        <v>500.14</v>
      </c>
      <c r="P27" s="6" t="inlineStr">
        <is>
          <t>00</t>
        </is>
      </c>
      <c r="Q27" s="6" t="inlineStr">
        <is>
          <t>0c3b8a7e-84e0-4bf7-90b1-90943ee41090</t>
        </is>
      </c>
      <c r="R27" s="9">
        <f>SUMIF(I4C_Incidents!$A:$A,$A27,I4C_Incidents!$H:$H)</f>
        <v/>
      </c>
      <c r="S27" s="10">
        <f>IF(ABS($O27-$R27)&lt;0.01,"OK","CHECK")</f>
        <v/>
      </c>
    </row>
    <row r="28">
      <c r="A28" s="6" t="inlineStr">
        <is>
          <t>31608230000027</t>
        </is>
      </c>
      <c r="B28" s="6" t="inlineStr">
        <is>
          <t>Business Email Compromise/Email Takeover</t>
        </is>
      </c>
      <c r="C28" s="6" t="inlineStr">
        <is>
          <t>I4C-MHA</t>
        </is>
      </c>
      <c r="D28" s="6" t="inlineStr">
        <is>
          <t>HDFC Bank</t>
        </is>
      </c>
      <c r="E28" s="6" t="n">
        <v>2</v>
      </c>
      <c r="F28" s="6" t="inlineStr">
        <is>
          <t>UPI</t>
        </is>
      </c>
      <c r="G28" s="6" t="inlineStr">
        <is>
          <t>9855241406</t>
        </is>
      </c>
      <c r="H28" s="6" t="inlineStr">
        <is>
          <t>DKNOONR06BA4IL</t>
        </is>
      </c>
      <c r="I28" s="6" t="inlineStr">
        <is>
          <t>DELHI</t>
        </is>
      </c>
      <c r="J28" s="6" t="inlineStr">
        <is>
          <t>South Delhi</t>
        </is>
      </c>
      <c r="K28" s="6" t="inlineStr">
        <is>
          <t>Mandatory</t>
        </is>
      </c>
      <c r="L28" s="6" t="inlineStr">
        <is>
          <t>Google Pay</t>
        </is>
      </c>
      <c r="M28" s="7" t="n">
        <v>45943.625</v>
      </c>
      <c r="N28" s="6" t="n">
        <v>3</v>
      </c>
      <c r="O28" s="8" t="n">
        <v>6285.75</v>
      </c>
      <c r="P28" s="6" t="inlineStr">
        <is>
          <t>00</t>
        </is>
      </c>
      <c r="Q28" s="6" t="inlineStr">
        <is>
          <t>4ad56b6f-7e0f-4744-a89a-aed047152451</t>
        </is>
      </c>
      <c r="R28" s="9">
        <f>SUMIF(I4C_Incidents!$A:$A,$A28,I4C_Incidents!$H:$H)</f>
        <v/>
      </c>
      <c r="S28" s="10">
        <f>IF(ABS($O28-$R28)&lt;0.01,"OK","CHECK")</f>
        <v/>
      </c>
    </row>
    <row r="29">
      <c r="A29" s="6" t="inlineStr">
        <is>
          <t>31608230000028</t>
        </is>
      </c>
      <c r="B29" s="6" t="inlineStr">
        <is>
          <t>UPI Related Frauds</t>
        </is>
      </c>
      <c r="C29" s="6" t="inlineStr">
        <is>
          <t>I4C-MHA</t>
        </is>
      </c>
      <c r="D29" s="6" t="inlineStr">
        <is>
          <t>Bank of Baroda</t>
        </is>
      </c>
      <c r="E29" s="6" t="n">
        <v>6</v>
      </c>
      <c r="F29" s="6" t="inlineStr">
        <is>
          <t>Debit/Credit</t>
        </is>
      </c>
      <c r="G29" s="6" t="inlineStr">
        <is>
          <t>6761847230</t>
        </is>
      </c>
      <c r="H29" s="6" t="inlineStr">
        <is>
          <t>T0G7RI0G6HSHG5</t>
        </is>
      </c>
      <c r="I29" s="6" t="inlineStr">
        <is>
          <t>KARNATAKA</t>
        </is>
      </c>
      <c r="J29" s="6" t="inlineStr">
        <is>
          <t>Bengaluru Urban</t>
        </is>
      </c>
      <c r="K29" s="6" t="inlineStr">
        <is>
          <t>Mandatory</t>
        </is>
      </c>
      <c r="L29" s="6" t="inlineStr">
        <is>
          <t>Amazon Pay</t>
        </is>
      </c>
      <c r="M29" s="7" t="n">
        <v>45941.06944444445</v>
      </c>
      <c r="N29" s="6" t="n">
        <v>2</v>
      </c>
      <c r="O29" s="8" t="n">
        <v>285.82</v>
      </c>
      <c r="P29" s="6" t="inlineStr">
        <is>
          <t>00</t>
        </is>
      </c>
      <c r="Q29" s="6" t="inlineStr">
        <is>
          <t>e15f19c7-2369-41e3-a3b6-5ec3f50b7c2f</t>
        </is>
      </c>
      <c r="R29" s="9">
        <f>SUMIF(I4C_Incidents!$A:$A,$A29,I4C_Incidents!$H:$H)</f>
        <v/>
      </c>
      <c r="S29" s="10">
        <f>IF(ABS($O29-$R29)&lt;0.01,"OK","CHECK")</f>
        <v/>
      </c>
    </row>
    <row r="30">
      <c r="A30" s="6" t="inlineStr">
        <is>
          <t>31608230000029</t>
        </is>
      </c>
      <c r="B30" s="6" t="inlineStr">
        <is>
          <t>UPI Related Frauds</t>
        </is>
      </c>
      <c r="C30" s="6" t="inlineStr">
        <is>
          <t>I4C-MHA</t>
        </is>
      </c>
      <c r="D30" s="6" t="inlineStr">
        <is>
          <t>State Bank of India</t>
        </is>
      </c>
      <c r="E30" s="6" t="n">
        <v>1</v>
      </c>
      <c r="F30" s="6" t="inlineStr">
        <is>
          <t>IMPS</t>
        </is>
      </c>
      <c r="G30" s="6" t="inlineStr">
        <is>
          <t>2877217535</t>
        </is>
      </c>
      <c r="H30" s="6" t="inlineStr">
        <is>
          <t>RD6O9YZPF322F5</t>
        </is>
      </c>
      <c r="I30" s="6" t="inlineStr">
        <is>
          <t>UTTAR PRADESH</t>
        </is>
      </c>
      <c r="J30" s="6" t="inlineStr">
        <is>
          <t>Lucknow</t>
        </is>
      </c>
      <c r="K30" s="6" t="inlineStr">
        <is>
          <t>Non Mandatory</t>
        </is>
      </c>
      <c r="L30" s="6" t="inlineStr">
        <is>
          <t>Paytm</t>
        </is>
      </c>
      <c r="M30" s="7" t="n">
        <v>45937.13541666666</v>
      </c>
      <c r="N30" s="6" t="n">
        <v>2</v>
      </c>
      <c r="O30" s="8" t="n">
        <v>11249.6</v>
      </c>
      <c r="P30" s="6" t="inlineStr">
        <is>
          <t>00</t>
        </is>
      </c>
      <c r="Q30" s="6" t="inlineStr">
        <is>
          <t>47f45dd2-b53d-45e3-8eed-29c832f5cb8b</t>
        </is>
      </c>
      <c r="R30" s="9">
        <f>SUMIF(I4C_Incidents!$A:$A,$A30,I4C_Incidents!$H:$H)</f>
        <v/>
      </c>
      <c r="S30" s="10">
        <f>IF(ABS($O30-$R30)&lt;0.01,"OK","CHECK")</f>
        <v/>
      </c>
    </row>
    <row r="31">
      <c r="A31" s="6" t="inlineStr">
        <is>
          <t>31608230000030</t>
        </is>
      </c>
      <c r="B31" s="6" t="inlineStr">
        <is>
          <t>UPI Related Frauds</t>
        </is>
      </c>
      <c r="C31" s="6" t="inlineStr">
        <is>
          <t>I4C-MHA</t>
        </is>
      </c>
      <c r="D31" s="6" t="inlineStr">
        <is>
          <t>Punjab National Bank</t>
        </is>
      </c>
      <c r="E31" s="6" t="n">
        <v>5</v>
      </c>
      <c r="F31" s="6" t="inlineStr">
        <is>
          <t>IMPS</t>
        </is>
      </c>
      <c r="G31" s="6" t="inlineStr">
        <is>
          <t>8386384066</t>
        </is>
      </c>
      <c r="H31" s="6" t="inlineStr">
        <is>
          <t>0U9DAQM2OX8MMS</t>
        </is>
      </c>
      <c r="I31" s="6" t="inlineStr">
        <is>
          <t>UTTAR PRADESH</t>
        </is>
      </c>
      <c r="J31" s="6" t="inlineStr">
        <is>
          <t>Lucknow</t>
        </is>
      </c>
      <c r="K31" s="6" t="inlineStr">
        <is>
          <t>Mandatory</t>
        </is>
      </c>
      <c r="L31" s="6" t="inlineStr">
        <is>
          <t>Google Pay</t>
        </is>
      </c>
      <c r="M31" s="7" t="n">
        <v>45934.98958333334</v>
      </c>
      <c r="N31" s="6" t="n">
        <v>1</v>
      </c>
      <c r="O31" s="8" t="n">
        <v>35.33</v>
      </c>
      <c r="P31" s="6" t="inlineStr">
        <is>
          <t>00</t>
        </is>
      </c>
      <c r="Q31" s="6" t="inlineStr">
        <is>
          <t>38c47fb7-350b-4e16-bd31-1c77d36f369d</t>
        </is>
      </c>
      <c r="R31" s="9">
        <f>SUMIF(I4C_Incidents!$A:$A,$A31,I4C_Incidents!$H:$H)</f>
        <v/>
      </c>
      <c r="S31" s="10">
        <f>IF(ABS($O31-$R31)&lt;0.01,"OK","CHECK")</f>
        <v/>
      </c>
    </row>
  </sheetData>
  <autoFilter ref="A1:S31"/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42" customWidth="1" min="3" max="3"/>
    <col width="9" customWidth="1" min="4" max="4"/>
    <col width="15" customWidth="1" min="5" max="5"/>
    <col width="18" customWidth="1" min="6" max="6"/>
    <col width="18" customWidth="1" min="7" max="7"/>
    <col width="17" customWidth="1" min="8" max="8"/>
    <col width="7" customWidth="1" min="9" max="9"/>
    <col width="28" customWidth="1" min="10" max="10"/>
    <col width="17" customWidth="1" min="11" max="11"/>
    <col width="17" customWidth="1" min="12" max="12"/>
    <col width="22" customWidth="1" min="13" max="13"/>
  </cols>
  <sheetData>
    <row r="1" ht="22" customHeight="1">
      <c r="A1" s="4" t="inlineStr">
        <is>
          <t>acknowledgement_no</t>
        </is>
      </c>
      <c r="B1" s="4" t="inlineStr">
        <is>
          <t>incident_id</t>
        </is>
      </c>
      <c r="C1" s="4" t="inlineStr">
        <is>
          <t>sub_category</t>
        </is>
      </c>
      <c r="D1" s="4" t="inlineStr">
        <is>
          <t>amount</t>
        </is>
      </c>
      <c r="E1" s="4" t="inlineStr">
        <is>
          <t>rrn</t>
        </is>
      </c>
      <c r="F1" s="4" t="inlineStr">
        <is>
          <t>transaction_date</t>
        </is>
      </c>
      <c r="G1" s="4" t="inlineStr">
        <is>
          <t>transaction_time</t>
        </is>
      </c>
      <c r="H1" s="4" t="inlineStr">
        <is>
          <t>disputed_amount</t>
        </is>
      </c>
      <c r="I1" s="4" t="inlineStr">
        <is>
          <t>layer</t>
        </is>
      </c>
      <c r="J1" s="4" t="inlineStr">
        <is>
          <t>payee_bank</t>
        </is>
      </c>
      <c r="K1" s="4" t="inlineStr">
        <is>
          <t>payee_bank_code</t>
        </is>
      </c>
      <c r="L1" s="4" t="inlineStr">
        <is>
          <t>payee_ifsc_code</t>
        </is>
      </c>
      <c r="M1" s="4" t="inlineStr">
        <is>
          <t>payee_account_number</t>
        </is>
      </c>
    </row>
    <row r="2">
      <c r="A2" s="6" t="inlineStr">
        <is>
          <t>31608230000001</t>
        </is>
      </c>
      <c r="B2" s="6" t="inlineStr">
        <is>
          <t>INC-0001-01</t>
        </is>
      </c>
      <c r="C2" s="6" t="inlineStr">
        <is>
          <t>UPI Related Frauds</t>
        </is>
      </c>
      <c r="D2" s="8" t="n">
        <v>1250.27</v>
      </c>
      <c r="E2" s="6" t="inlineStr">
        <is>
          <t>2475107991183</t>
        </is>
      </c>
      <c r="F2" s="6" t="inlineStr">
        <is>
          <t>2025-10-14</t>
        </is>
      </c>
      <c r="G2" s="6" t="inlineStr">
        <is>
          <t>02:35:00</t>
        </is>
      </c>
      <c r="H2" s="8" t="n">
        <v>1250.27</v>
      </c>
      <c r="I2" s="6" t="n">
        <v>1</v>
      </c>
      <c r="J2" s="6" t="inlineStr">
        <is>
          <t>Yes Bank</t>
        </is>
      </c>
      <c r="K2" s="6" t="n">
        <v>8</v>
      </c>
      <c r="L2" s="6" t="inlineStr">
        <is>
          <t>YESB0354278</t>
        </is>
      </c>
      <c r="M2" s="6" t="inlineStr">
        <is>
          <t>49808412411824</t>
        </is>
      </c>
    </row>
    <row r="3">
      <c r="A3" s="6" t="inlineStr">
        <is>
          <t>31608230000001</t>
        </is>
      </c>
      <c r="B3" s="6" t="inlineStr">
        <is>
          <t>INC-0001-02</t>
        </is>
      </c>
      <c r="C3" s="6" t="inlineStr">
        <is>
          <t>UPI Related Frauds</t>
        </is>
      </c>
      <c r="D3" s="8" t="n">
        <v>35</v>
      </c>
      <c r="E3" s="6" t="inlineStr">
        <is>
          <t>4935348740164</t>
        </is>
      </c>
      <c r="F3" s="6" t="inlineStr">
        <is>
          <t>2025-10-14</t>
        </is>
      </c>
      <c r="G3" s="6" t="inlineStr">
        <is>
          <t>03:37:00</t>
        </is>
      </c>
      <c r="H3" s="8" t="n">
        <v>35</v>
      </c>
      <c r="I3" s="6" t="n">
        <v>0</v>
      </c>
      <c r="J3" s="6" t="inlineStr">
        <is>
          <t>Canara Bank</t>
        </is>
      </c>
      <c r="K3" s="6" t="n">
        <v>12</v>
      </c>
      <c r="L3" s="6" t="inlineStr">
        <is>
          <t>CNRB0278680</t>
        </is>
      </c>
      <c r="M3" s="6" t="inlineStr">
        <is>
          <t>11280598262045</t>
        </is>
      </c>
    </row>
    <row r="4">
      <c r="A4" s="6" t="inlineStr">
        <is>
          <t>31608230000002</t>
        </is>
      </c>
      <c r="B4" s="6" t="inlineStr">
        <is>
          <t>INC-0002-01</t>
        </is>
      </c>
      <c r="C4" s="6" t="inlineStr">
        <is>
          <t>Business Email Compromise/Email Takeover</t>
        </is>
      </c>
      <c r="D4" s="8" t="n">
        <v>250.66</v>
      </c>
      <c r="E4" s="6" t="inlineStr">
        <is>
          <t>3406088356159</t>
        </is>
      </c>
      <c r="F4" s="6" t="inlineStr">
        <is>
          <t>2025-10-19</t>
        </is>
      </c>
      <c r="G4" s="6" t="inlineStr">
        <is>
          <t>22:36:00</t>
        </is>
      </c>
      <c r="H4" s="8" t="n">
        <v>250.66</v>
      </c>
      <c r="I4" s="6" t="n">
        <v>0</v>
      </c>
      <c r="J4" s="6" t="inlineStr">
        <is>
          <t>Canara Bank</t>
        </is>
      </c>
      <c r="K4" s="6" t="n">
        <v>12</v>
      </c>
      <c r="L4" s="6" t="inlineStr">
        <is>
          <t>CNRB0846564</t>
        </is>
      </c>
      <c r="M4" s="6" t="inlineStr">
        <is>
          <t>82366299468044</t>
        </is>
      </c>
    </row>
    <row r="5">
      <c r="A5" s="6" t="inlineStr">
        <is>
          <t>31608230000002</t>
        </is>
      </c>
      <c r="B5" s="6" t="inlineStr">
        <is>
          <t>INC-0002-02</t>
        </is>
      </c>
      <c r="C5" s="6" t="inlineStr">
        <is>
          <t>Business Email Compromise/Email Takeover</t>
        </is>
      </c>
      <c r="D5" s="8" t="n">
        <v>250.52</v>
      </c>
      <c r="E5" s="6" t="inlineStr">
        <is>
          <t>3699577738721</t>
        </is>
      </c>
      <c r="F5" s="6" t="inlineStr">
        <is>
          <t>2025-10-19</t>
        </is>
      </c>
      <c r="G5" s="6" t="inlineStr">
        <is>
          <t>23:02:00</t>
        </is>
      </c>
      <c r="H5" s="8" t="n">
        <v>250.52</v>
      </c>
      <c r="I5" s="6" t="n">
        <v>2</v>
      </c>
      <c r="J5" s="6" t="inlineStr">
        <is>
          <t>Union Bank of India</t>
        </is>
      </c>
      <c r="K5" s="6" t="n">
        <v>13</v>
      </c>
      <c r="L5" s="6" t="inlineStr">
        <is>
          <t>UBIN0134332</t>
        </is>
      </c>
      <c r="M5" s="6" t="inlineStr">
        <is>
          <t>00379176936763</t>
        </is>
      </c>
    </row>
    <row r="6">
      <c r="A6" s="6" t="inlineStr">
        <is>
          <t>31608230000002</t>
        </is>
      </c>
      <c r="B6" s="6" t="inlineStr">
        <is>
          <t>INC-0002-03</t>
        </is>
      </c>
      <c r="C6" s="6" t="inlineStr">
        <is>
          <t>Business Email Compromise/Email Takeover</t>
        </is>
      </c>
      <c r="D6" s="8" t="n">
        <v>99.8</v>
      </c>
      <c r="E6" s="6" t="inlineStr">
        <is>
          <t>2016328708317</t>
        </is>
      </c>
      <c r="F6" s="6" t="inlineStr">
        <is>
          <t>2025-10-19</t>
        </is>
      </c>
      <c r="G6" s="6" t="inlineStr">
        <is>
          <t>23:25:00</t>
        </is>
      </c>
      <c r="H6" s="8" t="n">
        <v>99.8</v>
      </c>
      <c r="I6" s="6" t="n">
        <v>2</v>
      </c>
      <c r="J6" s="6" t="inlineStr">
        <is>
          <t>Union Bank of India</t>
        </is>
      </c>
      <c r="K6" s="6" t="n">
        <v>13</v>
      </c>
      <c r="L6" s="6" t="inlineStr">
        <is>
          <t>UBIN0798687</t>
        </is>
      </c>
      <c r="M6" s="6" t="inlineStr">
        <is>
          <t>27743487347143</t>
        </is>
      </c>
    </row>
    <row r="7">
      <c r="A7" s="6" t="inlineStr">
        <is>
          <t>31608230000003</t>
        </is>
      </c>
      <c r="B7" s="6" t="inlineStr">
        <is>
          <t>INC-0003-01</t>
        </is>
      </c>
      <c r="C7" s="6" t="inlineStr">
        <is>
          <t>UPI Related Frauds</t>
        </is>
      </c>
      <c r="D7" s="8" t="n">
        <v>9999.92</v>
      </c>
      <c r="E7" s="6" t="inlineStr">
        <is>
          <t>0671657262849</t>
        </is>
      </c>
      <c r="F7" s="6" t="inlineStr">
        <is>
          <t>2025-10-25</t>
        </is>
      </c>
      <c r="G7" s="6" t="inlineStr">
        <is>
          <t>20:21:00</t>
        </is>
      </c>
      <c r="H7" s="8" t="n">
        <v>9999.92</v>
      </c>
      <c r="I7" s="6" t="n">
        <v>1</v>
      </c>
      <c r="J7" s="6" t="inlineStr">
        <is>
          <t>UCO Bank</t>
        </is>
      </c>
      <c r="K7" s="6" t="n">
        <v>14</v>
      </c>
      <c r="L7" s="6" t="inlineStr">
        <is>
          <t>UCBA0945314</t>
        </is>
      </c>
      <c r="M7" s="6" t="inlineStr">
        <is>
          <t>73799650752735</t>
        </is>
      </c>
    </row>
    <row r="8">
      <c r="A8" s="6" t="inlineStr">
        <is>
          <t>31608230000003</t>
        </is>
      </c>
      <c r="B8" s="6" t="inlineStr">
        <is>
          <t>INC-0003-02</t>
        </is>
      </c>
      <c r="C8" s="6" t="inlineStr">
        <is>
          <t>UPI Related Frauds</t>
        </is>
      </c>
      <c r="D8" s="8" t="n">
        <v>1250.76</v>
      </c>
      <c r="E8" s="6" t="inlineStr">
        <is>
          <t>4549480831367</t>
        </is>
      </c>
      <c r="F8" s="6" t="inlineStr">
        <is>
          <t>2025-10-25</t>
        </is>
      </c>
      <c r="G8" s="6" t="inlineStr">
        <is>
          <t>20:19:00</t>
        </is>
      </c>
      <c r="H8" s="8" t="n">
        <v>1250.76</v>
      </c>
      <c r="I8" s="6" t="n">
        <v>2</v>
      </c>
      <c r="J8" s="6" t="inlineStr">
        <is>
          <t>Varachha Co-operative Bank</t>
        </is>
      </c>
      <c r="K8" s="6" t="n">
        <v>36</v>
      </c>
      <c r="L8" s="6" t="inlineStr">
        <is>
          <t>VARA0701436</t>
        </is>
      </c>
      <c r="M8" s="6" t="inlineStr">
        <is>
          <t>34957885685574</t>
        </is>
      </c>
    </row>
    <row r="9">
      <c r="A9" s="6" t="inlineStr">
        <is>
          <t>31608230000004</t>
        </is>
      </c>
      <c r="B9" s="6" t="inlineStr">
        <is>
          <t>INC-0004-01</t>
        </is>
      </c>
      <c r="C9" s="6" t="inlineStr">
        <is>
          <t>UPI Related Frauds</t>
        </is>
      </c>
      <c r="D9" s="8" t="n">
        <v>500.69</v>
      </c>
      <c r="E9" s="6" t="inlineStr">
        <is>
          <t>3242102499471</t>
        </is>
      </c>
      <c r="F9" s="6" t="inlineStr">
        <is>
          <t>2025-10-06</t>
        </is>
      </c>
      <c r="G9" s="6" t="inlineStr">
        <is>
          <t>20:52:00</t>
        </is>
      </c>
      <c r="H9" s="8" t="n">
        <v>500.69</v>
      </c>
      <c r="I9" s="6" t="n">
        <v>2</v>
      </c>
      <c r="J9" s="6" t="inlineStr">
        <is>
          <t>Canara Bank</t>
        </is>
      </c>
      <c r="K9" s="6" t="n">
        <v>12</v>
      </c>
      <c r="L9" s="6" t="inlineStr">
        <is>
          <t>CNRB0887719</t>
        </is>
      </c>
      <c r="M9" s="6" t="inlineStr">
        <is>
          <t>06594013990490</t>
        </is>
      </c>
    </row>
    <row r="10">
      <c r="A10" s="6" t="inlineStr">
        <is>
          <t>31608230000004</t>
        </is>
      </c>
      <c r="B10" s="6" t="inlineStr">
        <is>
          <t>INC-0004-02</t>
        </is>
      </c>
      <c r="C10" s="6" t="inlineStr">
        <is>
          <t>UPI Related Frauds</t>
        </is>
      </c>
      <c r="D10" s="8" t="n">
        <v>250.32</v>
      </c>
      <c r="E10" s="6" t="inlineStr">
        <is>
          <t>2787429671756</t>
        </is>
      </c>
      <c r="F10" s="6" t="inlineStr">
        <is>
          <t>2025-10-06</t>
        </is>
      </c>
      <c r="G10" s="6" t="inlineStr">
        <is>
          <t>18:56:00</t>
        </is>
      </c>
      <c r="H10" s="8" t="n">
        <v>250.32</v>
      </c>
      <c r="I10" s="6" t="n">
        <v>0</v>
      </c>
      <c r="J10" s="6" t="inlineStr">
        <is>
          <t>IndusInd Bank</t>
        </is>
      </c>
      <c r="K10" s="6" t="n">
        <v>9</v>
      </c>
      <c r="L10" s="6" t="inlineStr">
        <is>
          <t>INDB0567468</t>
        </is>
      </c>
      <c r="M10" s="6" t="inlineStr">
        <is>
          <t>07154516808760</t>
        </is>
      </c>
    </row>
    <row r="11">
      <c r="A11" s="6" t="inlineStr">
        <is>
          <t>31608230000004</t>
        </is>
      </c>
      <c r="B11" s="6" t="inlineStr">
        <is>
          <t>INC-0004-03</t>
        </is>
      </c>
      <c r="C11" s="6" t="inlineStr">
        <is>
          <t>UPI Related Frauds</t>
        </is>
      </c>
      <c r="D11" s="8" t="n">
        <v>4999.48</v>
      </c>
      <c r="E11" s="6" t="inlineStr">
        <is>
          <t>3859770348247</t>
        </is>
      </c>
      <c r="F11" s="6" t="inlineStr">
        <is>
          <t>2025-10-06</t>
        </is>
      </c>
      <c r="G11" s="6" t="inlineStr">
        <is>
          <t>19:54:00</t>
        </is>
      </c>
      <c r="H11" s="8" t="n">
        <v>4999.48</v>
      </c>
      <c r="I11" s="6" t="n">
        <v>0</v>
      </c>
      <c r="J11" s="6" t="inlineStr">
        <is>
          <t>IDFC FIRST Bank</t>
        </is>
      </c>
      <c r="K11" s="6" t="n">
        <v>11</v>
      </c>
      <c r="L11" s="6" t="inlineStr">
        <is>
          <t>IDFB0248086</t>
        </is>
      </c>
      <c r="M11" s="6" t="inlineStr">
        <is>
          <t>13171274846773</t>
        </is>
      </c>
    </row>
    <row r="12">
      <c r="A12" s="6" t="inlineStr">
        <is>
          <t>31608230000005</t>
        </is>
      </c>
      <c r="B12" s="6" t="inlineStr">
        <is>
          <t>INC-0005-01</t>
        </is>
      </c>
      <c r="C12" s="6" t="inlineStr">
        <is>
          <t>Business Email Compromise/Email Takeover</t>
        </is>
      </c>
      <c r="D12" s="8" t="n">
        <v>500.64</v>
      </c>
      <c r="E12" s="6" t="inlineStr">
        <is>
          <t>9222196937923</t>
        </is>
      </c>
      <c r="F12" s="6" t="inlineStr">
        <is>
          <t>2025-10-27</t>
        </is>
      </c>
      <c r="G12" s="6" t="inlineStr">
        <is>
          <t>02:40:00</t>
        </is>
      </c>
      <c r="H12" s="8" t="n">
        <v>500.64</v>
      </c>
      <c r="I12" s="6" t="n">
        <v>1</v>
      </c>
      <c r="J12" s="6" t="inlineStr">
        <is>
          <t>Kotak Mahindra Bank</t>
        </is>
      </c>
      <c r="K12" s="6" t="n">
        <v>7</v>
      </c>
      <c r="L12" s="6" t="inlineStr">
        <is>
          <t>KKBK0748217</t>
        </is>
      </c>
      <c r="M12" s="6" t="inlineStr">
        <is>
          <t>59464743671369</t>
        </is>
      </c>
    </row>
    <row r="13">
      <c r="A13" s="6" t="inlineStr">
        <is>
          <t>31608230000005</t>
        </is>
      </c>
      <c r="B13" s="6" t="inlineStr">
        <is>
          <t>INC-0005-02</t>
        </is>
      </c>
      <c r="C13" s="6" t="inlineStr">
        <is>
          <t>Business Email Compromise/Email Takeover</t>
        </is>
      </c>
      <c r="D13" s="8" t="n">
        <v>9999.799999999999</v>
      </c>
      <c r="E13" s="6" t="inlineStr">
        <is>
          <t>5944064090974</t>
        </is>
      </c>
      <c r="F13" s="6" t="inlineStr">
        <is>
          <t>2025-10-27</t>
        </is>
      </c>
      <c r="G13" s="6" t="inlineStr">
        <is>
          <t>02:49:00</t>
        </is>
      </c>
      <c r="H13" s="8" t="n">
        <v>9999.799999999999</v>
      </c>
      <c r="I13" s="6" t="n">
        <v>1</v>
      </c>
      <c r="J13" s="6" t="inlineStr">
        <is>
          <t>IDFC FIRST Bank</t>
        </is>
      </c>
      <c r="K13" s="6" t="n">
        <v>11</v>
      </c>
      <c r="L13" s="6" t="inlineStr">
        <is>
          <t>IDFB0942104</t>
        </is>
      </c>
      <c r="M13" s="6" t="inlineStr">
        <is>
          <t>70952145623285</t>
        </is>
      </c>
    </row>
    <row r="14">
      <c r="A14" s="6" t="inlineStr">
        <is>
          <t>31608230000006</t>
        </is>
      </c>
      <c r="B14" s="6" t="inlineStr">
        <is>
          <t>INC-0006-01</t>
        </is>
      </c>
      <c r="C14" s="6" t="inlineStr">
        <is>
          <t>Business Email Compromise/Email Takeover</t>
        </is>
      </c>
      <c r="D14" s="8" t="n">
        <v>250.86</v>
      </c>
      <c r="E14" s="6" t="inlineStr">
        <is>
          <t>2931839335290</t>
        </is>
      </c>
      <c r="F14" s="6" t="inlineStr">
        <is>
          <t>2025-10-17</t>
        </is>
      </c>
      <c r="G14" s="6" t="inlineStr">
        <is>
          <t>12:52:00</t>
        </is>
      </c>
      <c r="H14" s="8" t="n">
        <v>250.86</v>
      </c>
      <c r="I14" s="6" t="n">
        <v>0</v>
      </c>
      <c r="J14" s="6" t="inlineStr">
        <is>
          <t>Canara Bank</t>
        </is>
      </c>
      <c r="K14" s="6" t="n">
        <v>12</v>
      </c>
      <c r="L14" s="6" t="inlineStr">
        <is>
          <t>CNRB0210205</t>
        </is>
      </c>
      <c r="M14" s="6" t="inlineStr">
        <is>
          <t>39502402681177</t>
        </is>
      </c>
    </row>
    <row r="15">
      <c r="A15" s="6" t="inlineStr">
        <is>
          <t>31608230000007</t>
        </is>
      </c>
      <c r="B15" s="6" t="inlineStr">
        <is>
          <t>INC-0007-01</t>
        </is>
      </c>
      <c r="C15" s="6" t="inlineStr">
        <is>
          <t>UPI Related Frauds</t>
        </is>
      </c>
      <c r="D15" s="8" t="n">
        <v>4999.74</v>
      </c>
      <c r="E15" s="6" t="inlineStr">
        <is>
          <t>5654527111161</t>
        </is>
      </c>
      <c r="F15" s="6" t="inlineStr">
        <is>
          <t>2025-10-21</t>
        </is>
      </c>
      <c r="G15" s="6" t="inlineStr">
        <is>
          <t>11:08:00</t>
        </is>
      </c>
      <c r="H15" s="8" t="n">
        <v>4999.74</v>
      </c>
      <c r="I15" s="6" t="n">
        <v>0</v>
      </c>
      <c r="J15" s="6" t="inlineStr">
        <is>
          <t>Kotak Mahindra Bank</t>
        </is>
      </c>
      <c r="K15" s="6" t="n">
        <v>7</v>
      </c>
      <c r="L15" s="6" t="inlineStr">
        <is>
          <t>KKBK0988516</t>
        </is>
      </c>
      <c r="M15" s="6" t="inlineStr">
        <is>
          <t>56049451983273</t>
        </is>
      </c>
    </row>
    <row r="16">
      <c r="A16" s="6" t="inlineStr">
        <is>
          <t>31608230000008</t>
        </is>
      </c>
      <c r="B16" s="6" t="inlineStr">
        <is>
          <t>INC-0008-01</t>
        </is>
      </c>
      <c r="C16" s="6" t="inlineStr">
        <is>
          <t>Business Email Compromise/Email Takeover</t>
        </is>
      </c>
      <c r="D16" s="8" t="n">
        <v>1250.67</v>
      </c>
      <c r="E16" s="6" t="inlineStr">
        <is>
          <t>9764381561497</t>
        </is>
      </c>
      <c r="F16" s="6" t="inlineStr">
        <is>
          <t>2025-10-21</t>
        </is>
      </c>
      <c r="G16" s="6" t="inlineStr">
        <is>
          <t>21:59:00</t>
        </is>
      </c>
      <c r="H16" s="8" t="n">
        <v>1250.67</v>
      </c>
      <c r="I16" s="6" t="n">
        <v>0</v>
      </c>
      <c r="J16" s="6" t="inlineStr">
        <is>
          <t>UCO Bank</t>
        </is>
      </c>
      <c r="K16" s="6" t="n">
        <v>14</v>
      </c>
      <c r="L16" s="6" t="inlineStr">
        <is>
          <t>UCBA0900343</t>
        </is>
      </c>
      <c r="M16" s="6" t="inlineStr">
        <is>
          <t>24451076226838</t>
        </is>
      </c>
    </row>
    <row r="17">
      <c r="A17" s="6" t="inlineStr">
        <is>
          <t>31608230000008</t>
        </is>
      </c>
      <c r="B17" s="6" t="inlineStr">
        <is>
          <t>INC-0008-02</t>
        </is>
      </c>
      <c r="C17" s="6" t="inlineStr">
        <is>
          <t>Business Email Compromise/Email Takeover</t>
        </is>
      </c>
      <c r="D17" s="8" t="n">
        <v>500.71</v>
      </c>
      <c r="E17" s="6" t="inlineStr">
        <is>
          <t>8516060715969</t>
        </is>
      </c>
      <c r="F17" s="6" t="inlineStr">
        <is>
          <t>2025-10-21</t>
        </is>
      </c>
      <c r="G17" s="6" t="inlineStr">
        <is>
          <t>21:41:00</t>
        </is>
      </c>
      <c r="H17" s="8" t="n">
        <v>500.71</v>
      </c>
      <c r="I17" s="6" t="n">
        <v>1</v>
      </c>
      <c r="J17" s="6" t="inlineStr">
        <is>
          <t>Yes Bank</t>
        </is>
      </c>
      <c r="K17" s="6" t="n">
        <v>8</v>
      </c>
      <c r="L17" s="6" t="inlineStr">
        <is>
          <t>YESB0605297</t>
        </is>
      </c>
      <c r="M17" s="6" t="inlineStr">
        <is>
          <t>51613696816453</t>
        </is>
      </c>
    </row>
    <row r="18">
      <c r="A18" s="6" t="inlineStr">
        <is>
          <t>31608230000009</t>
        </is>
      </c>
      <c r="B18" s="6" t="inlineStr">
        <is>
          <t>INC-0009-01</t>
        </is>
      </c>
      <c r="C18" s="6" t="inlineStr">
        <is>
          <t>UPI Related Frauds</t>
        </is>
      </c>
      <c r="D18" s="8" t="n">
        <v>4999.14</v>
      </c>
      <c r="E18" s="6" t="inlineStr">
        <is>
          <t>5151864492519</t>
        </is>
      </c>
      <c r="F18" s="6" t="inlineStr">
        <is>
          <t>2025-10-30</t>
        </is>
      </c>
      <c r="G18" s="6" t="inlineStr">
        <is>
          <t>08:11:00</t>
        </is>
      </c>
      <c r="H18" s="8" t="n">
        <v>4999.14</v>
      </c>
      <c r="I18" s="6" t="n">
        <v>1</v>
      </c>
      <c r="J18" s="6" t="inlineStr">
        <is>
          <t>UCO Bank</t>
        </is>
      </c>
      <c r="K18" s="6" t="n">
        <v>14</v>
      </c>
      <c r="L18" s="6" t="inlineStr">
        <is>
          <t>UCBA0291486</t>
        </is>
      </c>
      <c r="M18" s="6" t="inlineStr">
        <is>
          <t>52816850542357</t>
        </is>
      </c>
    </row>
    <row r="19">
      <c r="A19" s="6" t="inlineStr">
        <is>
          <t>31608230000010</t>
        </is>
      </c>
      <c r="B19" s="6" t="inlineStr">
        <is>
          <t>INC-0010-01</t>
        </is>
      </c>
      <c r="C19" s="6" t="inlineStr">
        <is>
          <t>Business Email Compromise/Email Takeover</t>
        </is>
      </c>
      <c r="D19" s="8" t="n">
        <v>9999.709999999999</v>
      </c>
      <c r="E19" s="6" t="inlineStr">
        <is>
          <t>6068536153051</t>
        </is>
      </c>
      <c r="F19" s="6" t="inlineStr">
        <is>
          <t>2025-10-18</t>
        </is>
      </c>
      <c r="G19" s="6" t="inlineStr">
        <is>
          <t>04:48:00</t>
        </is>
      </c>
      <c r="H19" s="8" t="n">
        <v>9999.709999999999</v>
      </c>
      <c r="I19" s="6" t="n">
        <v>1</v>
      </c>
      <c r="J19" s="6" t="inlineStr">
        <is>
          <t>IndusInd Bank</t>
        </is>
      </c>
      <c r="K19" s="6" t="n">
        <v>9</v>
      </c>
      <c r="L19" s="6" t="inlineStr">
        <is>
          <t>INDB0204727</t>
        </is>
      </c>
      <c r="M19" s="6" t="inlineStr">
        <is>
          <t>79010432898614</t>
        </is>
      </c>
    </row>
    <row r="20">
      <c r="A20" s="6" t="inlineStr">
        <is>
          <t>31608230000011</t>
        </is>
      </c>
      <c r="B20" s="6" t="inlineStr">
        <is>
          <t>INC-0011-01</t>
        </is>
      </c>
      <c r="C20" s="6" t="inlineStr">
        <is>
          <t>UPI Related Frauds</t>
        </is>
      </c>
      <c r="D20" s="8" t="n">
        <v>9999.66</v>
      </c>
      <c r="E20" s="6" t="inlineStr">
        <is>
          <t>0548687403450</t>
        </is>
      </c>
      <c r="F20" s="6" t="inlineStr">
        <is>
          <t>2025-10-03</t>
        </is>
      </c>
      <c r="G20" s="6" t="inlineStr">
        <is>
          <t>11:24:00</t>
        </is>
      </c>
      <c r="H20" s="8" t="n">
        <v>9999.66</v>
      </c>
      <c r="I20" s="6" t="n">
        <v>1</v>
      </c>
      <c r="J20" s="6" t="inlineStr">
        <is>
          <t>Union Bank of India</t>
        </is>
      </c>
      <c r="K20" s="6" t="n">
        <v>13</v>
      </c>
      <c r="L20" s="6" t="inlineStr">
        <is>
          <t>UBIN0667652</t>
        </is>
      </c>
      <c r="M20" s="6" t="inlineStr">
        <is>
          <t>77584161692845</t>
        </is>
      </c>
    </row>
    <row r="21">
      <c r="A21" s="6" t="inlineStr">
        <is>
          <t>31608230000012</t>
        </is>
      </c>
      <c r="B21" s="6" t="inlineStr">
        <is>
          <t>INC-0012-01</t>
        </is>
      </c>
      <c r="C21" s="6" t="inlineStr">
        <is>
          <t>UPI Related Frauds</t>
        </is>
      </c>
      <c r="D21" s="8" t="n">
        <v>99.79000000000001</v>
      </c>
      <c r="E21" s="6" t="inlineStr">
        <is>
          <t>1884422583132</t>
        </is>
      </c>
      <c r="F21" s="6" t="inlineStr">
        <is>
          <t>2025-10-16</t>
        </is>
      </c>
      <c r="G21" s="6" t="inlineStr">
        <is>
          <t>19:43:00</t>
        </is>
      </c>
      <c r="H21" s="8" t="n">
        <v>99.79000000000001</v>
      </c>
      <c r="I21" s="6" t="n">
        <v>0</v>
      </c>
      <c r="J21" s="6" t="inlineStr">
        <is>
          <t>Union Bank of India</t>
        </is>
      </c>
      <c r="K21" s="6" t="n">
        <v>13</v>
      </c>
      <c r="L21" s="6" t="inlineStr">
        <is>
          <t>UBIN0782911</t>
        </is>
      </c>
      <c r="M21" s="6" t="inlineStr">
        <is>
          <t>46786691251778</t>
        </is>
      </c>
    </row>
    <row r="22">
      <c r="A22" s="6" t="inlineStr">
        <is>
          <t>31608230000012</t>
        </is>
      </c>
      <c r="B22" s="6" t="inlineStr">
        <is>
          <t>INC-0012-02</t>
        </is>
      </c>
      <c r="C22" s="6" t="inlineStr">
        <is>
          <t>UPI Related Frauds</t>
        </is>
      </c>
      <c r="D22" s="8" t="n">
        <v>99.16</v>
      </c>
      <c r="E22" s="6" t="inlineStr">
        <is>
          <t>5289226801824</t>
        </is>
      </c>
      <c r="F22" s="6" t="inlineStr">
        <is>
          <t>2025-10-16</t>
        </is>
      </c>
      <c r="G22" s="6" t="inlineStr">
        <is>
          <t>20:18:00</t>
        </is>
      </c>
      <c r="H22" s="8" t="n">
        <v>99.16</v>
      </c>
      <c r="I22" s="6" t="n">
        <v>2</v>
      </c>
      <c r="J22" s="6" t="inlineStr">
        <is>
          <t>Union Bank of India</t>
        </is>
      </c>
      <c r="K22" s="6" t="n">
        <v>13</v>
      </c>
      <c r="L22" s="6" t="inlineStr">
        <is>
          <t>UBIN0841438</t>
        </is>
      </c>
      <c r="M22" s="6" t="inlineStr">
        <is>
          <t>42498182992299</t>
        </is>
      </c>
    </row>
    <row r="23">
      <c r="A23" s="6" t="inlineStr">
        <is>
          <t>31608230000013</t>
        </is>
      </c>
      <c r="B23" s="6" t="inlineStr">
        <is>
          <t>INC-0013-01</t>
        </is>
      </c>
      <c r="C23" s="6" t="inlineStr">
        <is>
          <t>Business Email Compromise/Email Takeover</t>
        </is>
      </c>
      <c r="D23" s="8" t="n">
        <v>35.57</v>
      </c>
      <c r="E23" s="6" t="inlineStr">
        <is>
          <t>7480162456506</t>
        </is>
      </c>
      <c r="F23" s="6" t="inlineStr">
        <is>
          <t>2025-10-25</t>
        </is>
      </c>
      <c r="G23" s="6" t="inlineStr">
        <is>
          <t>07:58:00</t>
        </is>
      </c>
      <c r="H23" s="8" t="n">
        <v>35.57</v>
      </c>
      <c r="I23" s="6" t="n">
        <v>0</v>
      </c>
      <c r="J23" s="6" t="inlineStr">
        <is>
          <t>Canara Bank</t>
        </is>
      </c>
      <c r="K23" s="6" t="n">
        <v>12</v>
      </c>
      <c r="L23" s="6" t="inlineStr">
        <is>
          <t>CNRB0168784</t>
        </is>
      </c>
      <c r="M23" s="6" t="inlineStr">
        <is>
          <t>99121655852398</t>
        </is>
      </c>
    </row>
    <row r="24">
      <c r="A24" s="6" t="inlineStr">
        <is>
          <t>31608230000013</t>
        </is>
      </c>
      <c r="B24" s="6" t="inlineStr">
        <is>
          <t>INC-0013-02</t>
        </is>
      </c>
      <c r="C24" s="6" t="inlineStr">
        <is>
          <t>Business Email Compromise/Email Takeover</t>
        </is>
      </c>
      <c r="D24" s="8" t="n">
        <v>99.33</v>
      </c>
      <c r="E24" s="6" t="inlineStr">
        <is>
          <t>6800025787298</t>
        </is>
      </c>
      <c r="F24" s="6" t="inlineStr">
        <is>
          <t>2025-10-25</t>
        </is>
      </c>
      <c r="G24" s="6" t="inlineStr">
        <is>
          <t>08:09:00</t>
        </is>
      </c>
      <c r="H24" s="8" t="n">
        <v>99.33</v>
      </c>
      <c r="I24" s="6" t="n">
        <v>2</v>
      </c>
      <c r="J24" s="6" t="inlineStr">
        <is>
          <t>IndusInd Bank</t>
        </is>
      </c>
      <c r="K24" s="6" t="n">
        <v>9</v>
      </c>
      <c r="L24" s="6" t="inlineStr">
        <is>
          <t>INDB0694958</t>
        </is>
      </c>
      <c r="M24" s="6" t="inlineStr">
        <is>
          <t>88794705516940</t>
        </is>
      </c>
    </row>
    <row r="25">
      <c r="A25" s="6" t="inlineStr">
        <is>
          <t>31608230000013</t>
        </is>
      </c>
      <c r="B25" s="6" t="inlineStr">
        <is>
          <t>INC-0013-03</t>
        </is>
      </c>
      <c r="C25" s="6" t="inlineStr">
        <is>
          <t>Business Email Compromise/Email Takeover</t>
        </is>
      </c>
      <c r="D25" s="8" t="n">
        <v>99.81999999999999</v>
      </c>
      <c r="E25" s="6" t="inlineStr">
        <is>
          <t>9749930972896</t>
        </is>
      </c>
      <c r="F25" s="6" t="inlineStr">
        <is>
          <t>2025-10-25</t>
        </is>
      </c>
      <c r="G25" s="6" t="inlineStr">
        <is>
          <t>09:22:00</t>
        </is>
      </c>
      <c r="H25" s="8" t="n">
        <v>99.81999999999999</v>
      </c>
      <c r="I25" s="6" t="n">
        <v>0</v>
      </c>
      <c r="J25" s="6" t="inlineStr">
        <is>
          <t>Yes Bank</t>
        </is>
      </c>
      <c r="K25" s="6" t="n">
        <v>8</v>
      </c>
      <c r="L25" s="6" t="inlineStr">
        <is>
          <t>YESB0307562</t>
        </is>
      </c>
      <c r="M25" s="6" t="inlineStr">
        <is>
          <t>63689702838578</t>
        </is>
      </c>
    </row>
    <row r="26">
      <c r="A26" s="6" t="inlineStr">
        <is>
          <t>31608230000014</t>
        </is>
      </c>
      <c r="B26" s="6" t="inlineStr">
        <is>
          <t>INC-0014-01</t>
        </is>
      </c>
      <c r="C26" s="6" t="inlineStr">
        <is>
          <t>Business Email Compromise/Email Takeover</t>
        </is>
      </c>
      <c r="D26" s="8" t="n">
        <v>9999.09</v>
      </c>
      <c r="E26" s="6" t="inlineStr">
        <is>
          <t>1208267734540</t>
        </is>
      </c>
      <c r="F26" s="6" t="inlineStr">
        <is>
          <t>2025-10-17</t>
        </is>
      </c>
      <c r="G26" s="6" t="inlineStr">
        <is>
          <t>07:24:00</t>
        </is>
      </c>
      <c r="H26" s="8" t="n">
        <v>9999.09</v>
      </c>
      <c r="I26" s="6" t="n">
        <v>0</v>
      </c>
      <c r="J26" s="6" t="inlineStr">
        <is>
          <t>Kotak Mahindra Bank</t>
        </is>
      </c>
      <c r="K26" s="6" t="n">
        <v>7</v>
      </c>
      <c r="L26" s="6" t="inlineStr">
        <is>
          <t>KKBK0262067</t>
        </is>
      </c>
      <c r="M26" s="6" t="inlineStr">
        <is>
          <t>24004991547887</t>
        </is>
      </c>
    </row>
    <row r="27">
      <c r="A27" s="6" t="inlineStr">
        <is>
          <t>31608230000014</t>
        </is>
      </c>
      <c r="B27" s="6" t="inlineStr">
        <is>
          <t>INC-0014-02</t>
        </is>
      </c>
      <c r="C27" s="6" t="inlineStr">
        <is>
          <t>Business Email Compromise/Email Takeover</t>
        </is>
      </c>
      <c r="D27" s="8" t="n">
        <v>9999.299999999999</v>
      </c>
      <c r="E27" s="6" t="inlineStr">
        <is>
          <t>2874315274205</t>
        </is>
      </c>
      <c r="F27" s="6" t="inlineStr">
        <is>
          <t>2025-10-17</t>
        </is>
      </c>
      <c r="G27" s="6" t="inlineStr">
        <is>
          <t>08:56:00</t>
        </is>
      </c>
      <c r="H27" s="8" t="n">
        <v>9999.299999999999</v>
      </c>
      <c r="I27" s="6" t="n">
        <v>0</v>
      </c>
      <c r="J27" s="6" t="inlineStr">
        <is>
          <t>UCO Bank</t>
        </is>
      </c>
      <c r="K27" s="6" t="n">
        <v>14</v>
      </c>
      <c r="L27" s="6" t="inlineStr">
        <is>
          <t>UCBA0685161</t>
        </is>
      </c>
      <c r="M27" s="6" t="inlineStr">
        <is>
          <t>22753046374549</t>
        </is>
      </c>
    </row>
    <row r="28">
      <c r="A28" s="6" t="inlineStr">
        <is>
          <t>31608230000015</t>
        </is>
      </c>
      <c r="B28" s="6" t="inlineStr">
        <is>
          <t>INC-0015-01</t>
        </is>
      </c>
      <c r="C28" s="6" t="inlineStr">
        <is>
          <t>Business Email Compromise/Email Takeover</t>
        </is>
      </c>
      <c r="D28" s="8" t="n">
        <v>500.09</v>
      </c>
      <c r="E28" s="6" t="inlineStr">
        <is>
          <t>8839822587139</t>
        </is>
      </c>
      <c r="F28" s="6" t="inlineStr">
        <is>
          <t>2025-10-06</t>
        </is>
      </c>
      <c r="G28" s="6" t="inlineStr">
        <is>
          <t>17:41:00</t>
        </is>
      </c>
      <c r="H28" s="8" t="n">
        <v>500.09</v>
      </c>
      <c r="I28" s="6" t="n">
        <v>2</v>
      </c>
      <c r="J28" s="6" t="inlineStr">
        <is>
          <t>Kotak Mahindra Bank</t>
        </is>
      </c>
      <c r="K28" s="6" t="n">
        <v>7</v>
      </c>
      <c r="L28" s="6" t="inlineStr">
        <is>
          <t>KKBK0728679</t>
        </is>
      </c>
      <c r="M28" s="6" t="inlineStr">
        <is>
          <t>08740640391065</t>
        </is>
      </c>
    </row>
    <row r="29">
      <c r="A29" s="6" t="inlineStr">
        <is>
          <t>31608230000016</t>
        </is>
      </c>
      <c r="B29" s="6" t="inlineStr">
        <is>
          <t>INC-0016-01</t>
        </is>
      </c>
      <c r="C29" s="6" t="inlineStr">
        <is>
          <t>Business Email Compromise/Email Takeover</t>
        </is>
      </c>
      <c r="D29" s="8" t="n">
        <v>250.88</v>
      </c>
      <c r="E29" s="6" t="inlineStr">
        <is>
          <t>8302843959953</t>
        </is>
      </c>
      <c r="F29" s="6" t="inlineStr">
        <is>
          <t>2025-10-22</t>
        </is>
      </c>
      <c r="G29" s="6" t="inlineStr">
        <is>
          <t>14:07:00</t>
        </is>
      </c>
      <c r="H29" s="8" t="n">
        <v>250.88</v>
      </c>
      <c r="I29" s="6" t="n">
        <v>2</v>
      </c>
      <c r="J29" s="6" t="inlineStr">
        <is>
          <t>IDFC FIRST Bank</t>
        </is>
      </c>
      <c r="K29" s="6" t="n">
        <v>11</v>
      </c>
      <c r="L29" s="6" t="inlineStr">
        <is>
          <t>IDFB0644089</t>
        </is>
      </c>
      <c r="M29" s="6" t="inlineStr">
        <is>
          <t>26870568566246</t>
        </is>
      </c>
    </row>
    <row r="30">
      <c r="A30" s="6" t="inlineStr">
        <is>
          <t>31608230000017</t>
        </is>
      </c>
      <c r="B30" s="6" t="inlineStr">
        <is>
          <t>INC-0017-01</t>
        </is>
      </c>
      <c r="C30" s="6" t="inlineStr">
        <is>
          <t>Business Email Compromise/Email Takeover</t>
        </is>
      </c>
      <c r="D30" s="8" t="n">
        <v>99.33</v>
      </c>
      <c r="E30" s="6" t="inlineStr">
        <is>
          <t>6093204899642</t>
        </is>
      </c>
      <c r="F30" s="6" t="inlineStr">
        <is>
          <t>2025-10-19</t>
        </is>
      </c>
      <c r="G30" s="6" t="inlineStr">
        <is>
          <t>06:20:00</t>
        </is>
      </c>
      <c r="H30" s="8" t="n">
        <v>99.33</v>
      </c>
      <c r="I30" s="6" t="n">
        <v>1</v>
      </c>
      <c r="J30" s="6" t="inlineStr">
        <is>
          <t>IDFC FIRST Bank</t>
        </is>
      </c>
      <c r="K30" s="6" t="n">
        <v>11</v>
      </c>
      <c r="L30" s="6" t="inlineStr">
        <is>
          <t>IDFB0785477</t>
        </is>
      </c>
      <c r="M30" s="6" t="inlineStr">
        <is>
          <t>72522872808010</t>
        </is>
      </c>
    </row>
    <row r="31">
      <c r="A31" s="6" t="inlineStr">
        <is>
          <t>31608230000017</t>
        </is>
      </c>
      <c r="B31" s="6" t="inlineStr">
        <is>
          <t>INC-0017-02</t>
        </is>
      </c>
      <c r="C31" s="6" t="inlineStr">
        <is>
          <t>Business Email Compromise/Email Takeover</t>
        </is>
      </c>
      <c r="D31" s="8" t="n">
        <v>4999.67</v>
      </c>
      <c r="E31" s="6" t="inlineStr">
        <is>
          <t>0623120387509</t>
        </is>
      </c>
      <c r="F31" s="6" t="inlineStr">
        <is>
          <t>2025-10-19</t>
        </is>
      </c>
      <c r="G31" s="6" t="inlineStr">
        <is>
          <t>04:52:00</t>
        </is>
      </c>
      <c r="H31" s="8" t="n">
        <v>4999.67</v>
      </c>
      <c r="I31" s="6" t="n">
        <v>2</v>
      </c>
      <c r="J31" s="6" t="inlineStr">
        <is>
          <t>Varachha Co-operative Bank</t>
        </is>
      </c>
      <c r="K31" s="6" t="n">
        <v>36</v>
      </c>
      <c r="L31" s="6" t="inlineStr">
        <is>
          <t>VARA0700886</t>
        </is>
      </c>
      <c r="M31" s="6" t="inlineStr">
        <is>
          <t>00848408621182</t>
        </is>
      </c>
    </row>
    <row r="32">
      <c r="A32" s="6" t="inlineStr">
        <is>
          <t>31608230000018</t>
        </is>
      </c>
      <c r="B32" s="6" t="inlineStr">
        <is>
          <t>INC-0018-01</t>
        </is>
      </c>
      <c r="C32" s="6" t="inlineStr">
        <is>
          <t>Business Email Compromise/Email Takeover</t>
        </is>
      </c>
      <c r="D32" s="8" t="n">
        <v>250.55</v>
      </c>
      <c r="E32" s="6" t="inlineStr">
        <is>
          <t>1212678886101</t>
        </is>
      </c>
      <c r="F32" s="6" t="inlineStr">
        <is>
          <t>2025-10-18</t>
        </is>
      </c>
      <c r="G32" s="6" t="inlineStr">
        <is>
          <t>17:42:00</t>
        </is>
      </c>
      <c r="H32" s="8" t="n">
        <v>250.55</v>
      </c>
      <c r="I32" s="6" t="n">
        <v>2</v>
      </c>
      <c r="J32" s="6" t="inlineStr">
        <is>
          <t>Union Bank of India</t>
        </is>
      </c>
      <c r="K32" s="6" t="n">
        <v>13</v>
      </c>
      <c r="L32" s="6" t="inlineStr">
        <is>
          <t>UBIN0604661</t>
        </is>
      </c>
      <c r="M32" s="6" t="inlineStr">
        <is>
          <t>83982622444721</t>
        </is>
      </c>
    </row>
    <row r="33">
      <c r="A33" s="6" t="inlineStr">
        <is>
          <t>31608230000018</t>
        </is>
      </c>
      <c r="B33" s="6" t="inlineStr">
        <is>
          <t>INC-0018-02</t>
        </is>
      </c>
      <c r="C33" s="6" t="inlineStr">
        <is>
          <t>Business Email Compromise/Email Takeover</t>
        </is>
      </c>
      <c r="D33" s="8" t="n">
        <v>99.45999999999999</v>
      </c>
      <c r="E33" s="6" t="inlineStr">
        <is>
          <t>2646471543799</t>
        </is>
      </c>
      <c r="F33" s="6" t="inlineStr">
        <is>
          <t>2025-10-18</t>
        </is>
      </c>
      <c r="G33" s="6" t="inlineStr">
        <is>
          <t>18:58:00</t>
        </is>
      </c>
      <c r="H33" s="8" t="n">
        <v>99.45999999999999</v>
      </c>
      <c r="I33" s="6" t="n">
        <v>0</v>
      </c>
      <c r="J33" s="6" t="inlineStr">
        <is>
          <t>Kotak Mahindra Bank</t>
        </is>
      </c>
      <c r="K33" s="6" t="n">
        <v>7</v>
      </c>
      <c r="L33" s="6" t="inlineStr">
        <is>
          <t>KKBK0659657</t>
        </is>
      </c>
      <c r="M33" s="6" t="inlineStr">
        <is>
          <t>56924593752654</t>
        </is>
      </c>
    </row>
    <row r="34">
      <c r="A34" s="6" t="inlineStr">
        <is>
          <t>31608230000019</t>
        </is>
      </c>
      <c r="B34" s="6" t="inlineStr">
        <is>
          <t>INC-0019-01</t>
        </is>
      </c>
      <c r="C34" s="6" t="inlineStr">
        <is>
          <t>UPI Related Frauds</t>
        </is>
      </c>
      <c r="D34" s="8" t="n">
        <v>250.04</v>
      </c>
      <c r="E34" s="6" t="inlineStr">
        <is>
          <t>4573875717751</t>
        </is>
      </c>
      <c r="F34" s="6" t="inlineStr">
        <is>
          <t>2025-10-08</t>
        </is>
      </c>
      <c r="G34" s="6" t="inlineStr">
        <is>
          <t>05:26:00</t>
        </is>
      </c>
      <c r="H34" s="8" t="n">
        <v>250.04</v>
      </c>
      <c r="I34" s="6" t="n">
        <v>2</v>
      </c>
      <c r="J34" s="6" t="inlineStr">
        <is>
          <t>Kotak Mahindra Bank</t>
        </is>
      </c>
      <c r="K34" s="6" t="n">
        <v>7</v>
      </c>
      <c r="L34" s="6" t="inlineStr">
        <is>
          <t>KKBK0512382</t>
        </is>
      </c>
      <c r="M34" s="6" t="inlineStr">
        <is>
          <t>82586736226609</t>
        </is>
      </c>
    </row>
    <row r="35">
      <c r="A35" s="6" t="inlineStr">
        <is>
          <t>31608230000019</t>
        </is>
      </c>
      <c r="B35" s="6" t="inlineStr">
        <is>
          <t>INC-0019-02</t>
        </is>
      </c>
      <c r="C35" s="6" t="inlineStr">
        <is>
          <t>UPI Related Frauds</t>
        </is>
      </c>
      <c r="D35" s="8" t="n">
        <v>99.37</v>
      </c>
      <c r="E35" s="6" t="inlineStr">
        <is>
          <t>3796603341918</t>
        </is>
      </c>
      <c r="F35" s="6" t="inlineStr">
        <is>
          <t>2025-10-08</t>
        </is>
      </c>
      <c r="G35" s="6" t="inlineStr">
        <is>
          <t>03:58:00</t>
        </is>
      </c>
      <c r="H35" s="8" t="n">
        <v>99.37</v>
      </c>
      <c r="I35" s="6" t="n">
        <v>0</v>
      </c>
      <c r="J35" s="6" t="inlineStr">
        <is>
          <t>Yes Bank</t>
        </is>
      </c>
      <c r="K35" s="6" t="n">
        <v>8</v>
      </c>
      <c r="L35" s="6" t="inlineStr">
        <is>
          <t>YESB0478596</t>
        </is>
      </c>
      <c r="M35" s="6" t="inlineStr">
        <is>
          <t>96915579249912</t>
        </is>
      </c>
    </row>
    <row r="36">
      <c r="A36" s="6" t="inlineStr">
        <is>
          <t>31608230000020</t>
        </is>
      </c>
      <c r="B36" s="6" t="inlineStr">
        <is>
          <t>INC-0020-01</t>
        </is>
      </c>
      <c r="C36" s="6" t="inlineStr">
        <is>
          <t>UPI Related Frauds</t>
        </is>
      </c>
      <c r="D36" s="8" t="n">
        <v>250.35</v>
      </c>
      <c r="E36" s="6" t="inlineStr">
        <is>
          <t>8580783613407</t>
        </is>
      </c>
      <c r="F36" s="6" t="inlineStr">
        <is>
          <t>2025-10-06</t>
        </is>
      </c>
      <c r="G36" s="6" t="inlineStr">
        <is>
          <t>20:03:00</t>
        </is>
      </c>
      <c r="H36" s="8" t="n">
        <v>250.35</v>
      </c>
      <c r="I36" s="6" t="n">
        <v>0</v>
      </c>
      <c r="J36" s="6" t="inlineStr">
        <is>
          <t>Yes Bank</t>
        </is>
      </c>
      <c r="K36" s="6" t="n">
        <v>8</v>
      </c>
      <c r="L36" s="6" t="inlineStr">
        <is>
          <t>YESB0339596</t>
        </is>
      </c>
      <c r="M36" s="6" t="inlineStr">
        <is>
          <t>29233095849825</t>
        </is>
      </c>
    </row>
    <row r="37">
      <c r="A37" s="6" t="inlineStr">
        <is>
          <t>31608230000020</t>
        </is>
      </c>
      <c r="B37" s="6" t="inlineStr">
        <is>
          <t>INC-0020-02</t>
        </is>
      </c>
      <c r="C37" s="6" t="inlineStr">
        <is>
          <t>UPI Related Frauds</t>
        </is>
      </c>
      <c r="D37" s="8" t="n">
        <v>99.70999999999999</v>
      </c>
      <c r="E37" s="6" t="inlineStr">
        <is>
          <t>4494812604223</t>
        </is>
      </c>
      <c r="F37" s="6" t="inlineStr">
        <is>
          <t>2025-10-06</t>
        </is>
      </c>
      <c r="G37" s="6" t="inlineStr">
        <is>
          <t>18:41:00</t>
        </is>
      </c>
      <c r="H37" s="8" t="n">
        <v>99.70999999999999</v>
      </c>
      <c r="I37" s="6" t="n">
        <v>0</v>
      </c>
      <c r="J37" s="6" t="inlineStr">
        <is>
          <t>UCO Bank</t>
        </is>
      </c>
      <c r="K37" s="6" t="n">
        <v>14</v>
      </c>
      <c r="L37" s="6" t="inlineStr">
        <is>
          <t>UCBA0729466</t>
        </is>
      </c>
      <c r="M37" s="6" t="inlineStr">
        <is>
          <t>71168457759017</t>
        </is>
      </c>
    </row>
    <row r="38">
      <c r="A38" s="6" t="inlineStr">
        <is>
          <t>31608230000021</t>
        </is>
      </c>
      <c r="B38" s="6" t="inlineStr">
        <is>
          <t>INC-0021-01</t>
        </is>
      </c>
      <c r="C38" s="6" t="inlineStr">
        <is>
          <t>Business Email Compromise/Email Takeover</t>
        </is>
      </c>
      <c r="D38" s="8" t="n">
        <v>35.53</v>
      </c>
      <c r="E38" s="6" t="inlineStr">
        <is>
          <t>1361115542622</t>
        </is>
      </c>
      <c r="F38" s="6" t="inlineStr">
        <is>
          <t>2025-10-07</t>
        </is>
      </c>
      <c r="G38" s="6" t="inlineStr">
        <is>
          <t>16:14:00</t>
        </is>
      </c>
      <c r="H38" s="8" t="n">
        <v>35.53</v>
      </c>
      <c r="I38" s="6" t="n">
        <v>0</v>
      </c>
      <c r="J38" s="6" t="inlineStr">
        <is>
          <t>IndusInd Bank</t>
        </is>
      </c>
      <c r="K38" s="6" t="n">
        <v>9</v>
      </c>
      <c r="L38" s="6" t="inlineStr">
        <is>
          <t>INDB0753269</t>
        </is>
      </c>
      <c r="M38" s="6" t="inlineStr">
        <is>
          <t>73112196565234</t>
        </is>
      </c>
    </row>
    <row r="39">
      <c r="A39" s="6" t="inlineStr">
        <is>
          <t>31608230000021</t>
        </is>
      </c>
      <c r="B39" s="6" t="inlineStr">
        <is>
          <t>INC-0021-02</t>
        </is>
      </c>
      <c r="C39" s="6" t="inlineStr">
        <is>
          <t>Business Email Compromise/Email Takeover</t>
        </is>
      </c>
      <c r="D39" s="8" t="n">
        <v>99.75</v>
      </c>
      <c r="E39" s="6" t="inlineStr">
        <is>
          <t>1389994043898</t>
        </is>
      </c>
      <c r="F39" s="6" t="inlineStr">
        <is>
          <t>2025-10-07</t>
        </is>
      </c>
      <c r="G39" s="6" t="inlineStr">
        <is>
          <t>16:05:00</t>
        </is>
      </c>
      <c r="H39" s="8" t="n">
        <v>99.75</v>
      </c>
      <c r="I39" s="6" t="n">
        <v>1</v>
      </c>
      <c r="J39" s="6" t="inlineStr">
        <is>
          <t>Kotak Mahindra Bank</t>
        </is>
      </c>
      <c r="K39" s="6" t="n">
        <v>7</v>
      </c>
      <c r="L39" s="6" t="inlineStr">
        <is>
          <t>KKBK0376137</t>
        </is>
      </c>
      <c r="M39" s="6" t="inlineStr">
        <is>
          <t>91805526965827</t>
        </is>
      </c>
    </row>
    <row r="40">
      <c r="A40" s="6" t="inlineStr">
        <is>
          <t>31608230000022</t>
        </is>
      </c>
      <c r="B40" s="6" t="inlineStr">
        <is>
          <t>INC-0022-01</t>
        </is>
      </c>
      <c r="C40" s="6" t="inlineStr">
        <is>
          <t>Business Email Compromise/Email Takeover</t>
        </is>
      </c>
      <c r="D40" s="8" t="n">
        <v>500.86</v>
      </c>
      <c r="E40" s="6" t="inlineStr">
        <is>
          <t>5648149177850</t>
        </is>
      </c>
      <c r="F40" s="6" t="inlineStr">
        <is>
          <t>2025-10-07</t>
        </is>
      </c>
      <c r="G40" s="6" t="inlineStr">
        <is>
          <t>00:51:00</t>
        </is>
      </c>
      <c r="H40" s="8" t="n">
        <v>500.86</v>
      </c>
      <c r="I40" s="6" t="n">
        <v>0</v>
      </c>
      <c r="J40" s="6" t="inlineStr">
        <is>
          <t>IndusInd Bank</t>
        </is>
      </c>
      <c r="K40" s="6" t="n">
        <v>9</v>
      </c>
      <c r="L40" s="6" t="inlineStr">
        <is>
          <t>INDB0419138</t>
        </is>
      </c>
      <c r="M40" s="6" t="inlineStr">
        <is>
          <t>00030756220863</t>
        </is>
      </c>
    </row>
    <row r="41">
      <c r="A41" s="6" t="inlineStr">
        <is>
          <t>31608230000023</t>
        </is>
      </c>
      <c r="B41" s="6" t="inlineStr">
        <is>
          <t>INC-0023-01</t>
        </is>
      </c>
      <c r="C41" s="6" t="inlineStr">
        <is>
          <t>Business Email Compromise/Email Takeover</t>
        </is>
      </c>
      <c r="D41" s="8" t="n">
        <v>99.42</v>
      </c>
      <c r="E41" s="6" t="inlineStr">
        <is>
          <t>6038505064138</t>
        </is>
      </c>
      <c r="F41" s="6" t="inlineStr">
        <is>
          <t>2025-10-08</t>
        </is>
      </c>
      <c r="G41" s="6" t="inlineStr">
        <is>
          <t>15:44:00</t>
        </is>
      </c>
      <c r="H41" s="8" t="n">
        <v>99.42</v>
      </c>
      <c r="I41" s="6" t="n">
        <v>0</v>
      </c>
      <c r="J41" s="6" t="inlineStr">
        <is>
          <t>Canara Bank</t>
        </is>
      </c>
      <c r="K41" s="6" t="n">
        <v>12</v>
      </c>
      <c r="L41" s="6" t="inlineStr">
        <is>
          <t>CNRB0103865</t>
        </is>
      </c>
      <c r="M41" s="6" t="inlineStr">
        <is>
          <t>71918261990623</t>
        </is>
      </c>
    </row>
    <row r="42">
      <c r="A42" s="6" t="inlineStr">
        <is>
          <t>31608230000024</t>
        </is>
      </c>
      <c r="B42" s="6" t="inlineStr">
        <is>
          <t>INC-0024-01</t>
        </is>
      </c>
      <c r="C42" s="6" t="inlineStr">
        <is>
          <t>Business Email Compromise/Email Takeover</t>
        </is>
      </c>
      <c r="D42" s="8" t="n">
        <v>250.69</v>
      </c>
      <c r="E42" s="6" t="inlineStr">
        <is>
          <t>8317121003236</t>
        </is>
      </c>
      <c r="F42" s="6" t="inlineStr">
        <is>
          <t>2025-10-23</t>
        </is>
      </c>
      <c r="G42" s="6" t="inlineStr">
        <is>
          <t>05:16:00</t>
        </is>
      </c>
      <c r="H42" s="8" t="n">
        <v>250.69</v>
      </c>
      <c r="I42" s="6" t="n">
        <v>0</v>
      </c>
      <c r="J42" s="6" t="inlineStr">
        <is>
          <t>Canara Bank</t>
        </is>
      </c>
      <c r="K42" s="6" t="n">
        <v>12</v>
      </c>
      <c r="L42" s="6" t="inlineStr">
        <is>
          <t>CNRB0101372</t>
        </is>
      </c>
      <c r="M42" s="6" t="inlineStr">
        <is>
          <t>15107029667066</t>
        </is>
      </c>
    </row>
    <row r="43">
      <c r="A43" s="6" t="inlineStr">
        <is>
          <t>31608230000024</t>
        </is>
      </c>
      <c r="B43" s="6" t="inlineStr">
        <is>
          <t>INC-0024-02</t>
        </is>
      </c>
      <c r="C43" s="6" t="inlineStr">
        <is>
          <t>Business Email Compromise/Email Takeover</t>
        </is>
      </c>
      <c r="D43" s="8" t="n">
        <v>4999.3</v>
      </c>
      <c r="E43" s="6" t="inlineStr">
        <is>
          <t>2532447209993</t>
        </is>
      </c>
      <c r="F43" s="6" t="inlineStr">
        <is>
          <t>2025-10-23</t>
        </is>
      </c>
      <c r="G43" s="6" t="inlineStr">
        <is>
          <t>04:00:00</t>
        </is>
      </c>
      <c r="H43" s="8" t="n">
        <v>4999.3</v>
      </c>
      <c r="I43" s="6" t="n">
        <v>1</v>
      </c>
      <c r="J43" s="6" t="inlineStr">
        <is>
          <t>Varachha Co-operative Bank</t>
        </is>
      </c>
      <c r="K43" s="6" t="n">
        <v>36</v>
      </c>
      <c r="L43" s="6" t="inlineStr">
        <is>
          <t>VARA0014626</t>
        </is>
      </c>
      <c r="M43" s="6" t="inlineStr">
        <is>
          <t>38380657875985</t>
        </is>
      </c>
    </row>
    <row r="44">
      <c r="A44" s="6" t="inlineStr">
        <is>
          <t>31608230000024</t>
        </is>
      </c>
      <c r="B44" s="6" t="inlineStr">
        <is>
          <t>INC-0024-03</t>
        </is>
      </c>
      <c r="C44" s="6" t="inlineStr">
        <is>
          <t>Business Email Compromise/Email Takeover</t>
        </is>
      </c>
      <c r="D44" s="8" t="n">
        <v>9999.58</v>
      </c>
      <c r="E44" s="6" t="inlineStr">
        <is>
          <t>6420593040785</t>
        </is>
      </c>
      <c r="F44" s="6" t="inlineStr">
        <is>
          <t>2025-10-23</t>
        </is>
      </c>
      <c r="G44" s="6" t="inlineStr">
        <is>
          <t>07:05:00</t>
        </is>
      </c>
      <c r="H44" s="8" t="n">
        <v>9999.58</v>
      </c>
      <c r="I44" s="6" t="n">
        <v>0</v>
      </c>
      <c r="J44" s="6" t="inlineStr">
        <is>
          <t>Yes Bank</t>
        </is>
      </c>
      <c r="K44" s="6" t="n">
        <v>8</v>
      </c>
      <c r="L44" s="6" t="inlineStr">
        <is>
          <t>YESB0334803</t>
        </is>
      </c>
      <c r="M44" s="6" t="inlineStr">
        <is>
          <t>96522395590599</t>
        </is>
      </c>
    </row>
    <row r="45">
      <c r="A45" s="6" t="inlineStr">
        <is>
          <t>31608230000025</t>
        </is>
      </c>
      <c r="B45" s="6" t="inlineStr">
        <is>
          <t>INC-0025-01</t>
        </is>
      </c>
      <c r="C45" s="6" t="inlineStr">
        <is>
          <t>Business Email Compromise/Email Takeover</t>
        </is>
      </c>
      <c r="D45" s="8" t="n">
        <v>500.01</v>
      </c>
      <c r="E45" s="6" t="inlineStr">
        <is>
          <t>3917251355215</t>
        </is>
      </c>
      <c r="F45" s="6" t="inlineStr">
        <is>
          <t>2025-10-16</t>
        </is>
      </c>
      <c r="G45" s="6" t="inlineStr">
        <is>
          <t>18:32:00</t>
        </is>
      </c>
      <c r="H45" s="8" t="n">
        <v>500.01</v>
      </c>
      <c r="I45" s="6" t="n">
        <v>0</v>
      </c>
      <c r="J45" s="6" t="inlineStr">
        <is>
          <t>Yes Bank</t>
        </is>
      </c>
      <c r="K45" s="6" t="n">
        <v>8</v>
      </c>
      <c r="L45" s="6" t="inlineStr">
        <is>
          <t>YESB0541006</t>
        </is>
      </c>
      <c r="M45" s="6" t="inlineStr">
        <is>
          <t>76267658617932</t>
        </is>
      </c>
    </row>
    <row r="46">
      <c r="A46" s="6" t="inlineStr">
        <is>
          <t>31608230000025</t>
        </is>
      </c>
      <c r="B46" s="6" t="inlineStr">
        <is>
          <t>INC-0025-02</t>
        </is>
      </c>
      <c r="C46" s="6" t="inlineStr">
        <is>
          <t>Business Email Compromise/Email Takeover</t>
        </is>
      </c>
      <c r="D46" s="8" t="n">
        <v>4999.08</v>
      </c>
      <c r="E46" s="6" t="inlineStr">
        <is>
          <t>7104054115262</t>
        </is>
      </c>
      <c r="F46" s="6" t="inlineStr">
        <is>
          <t>2025-10-16</t>
        </is>
      </c>
      <c r="G46" s="6" t="inlineStr">
        <is>
          <t>18:09:00</t>
        </is>
      </c>
      <c r="H46" s="8" t="n">
        <v>4999.08</v>
      </c>
      <c r="I46" s="6" t="n">
        <v>0</v>
      </c>
      <c r="J46" s="6" t="inlineStr">
        <is>
          <t>Varachha Co-operative Bank</t>
        </is>
      </c>
      <c r="K46" s="6" t="n">
        <v>36</v>
      </c>
      <c r="L46" s="6" t="inlineStr">
        <is>
          <t>VARA0062962</t>
        </is>
      </c>
      <c r="M46" s="6" t="inlineStr">
        <is>
          <t>01533688444310</t>
        </is>
      </c>
    </row>
    <row r="47">
      <c r="A47" s="6" t="inlineStr">
        <is>
          <t>31608230000025</t>
        </is>
      </c>
      <c r="B47" s="6" t="inlineStr">
        <is>
          <t>INC-0025-03</t>
        </is>
      </c>
      <c r="C47" s="6" t="inlineStr">
        <is>
          <t>Business Email Compromise/Email Takeover</t>
        </is>
      </c>
      <c r="D47" s="8" t="n">
        <v>99.09999999999999</v>
      </c>
      <c r="E47" s="6" t="inlineStr">
        <is>
          <t>6987205061497</t>
        </is>
      </c>
      <c r="F47" s="6" t="inlineStr">
        <is>
          <t>2025-10-16</t>
        </is>
      </c>
      <c r="G47" s="6" t="inlineStr">
        <is>
          <t>18:52:00</t>
        </is>
      </c>
      <c r="H47" s="8" t="n">
        <v>99.09999999999999</v>
      </c>
      <c r="I47" s="6" t="n">
        <v>0</v>
      </c>
      <c r="J47" s="6" t="inlineStr">
        <is>
          <t>Canara Bank</t>
        </is>
      </c>
      <c r="K47" s="6" t="n">
        <v>12</v>
      </c>
      <c r="L47" s="6" t="inlineStr">
        <is>
          <t>CNRB0171467</t>
        </is>
      </c>
      <c r="M47" s="6" t="inlineStr">
        <is>
          <t>74186256527047</t>
        </is>
      </c>
    </row>
    <row r="48">
      <c r="A48" s="6" t="inlineStr">
        <is>
          <t>31608230000026</t>
        </is>
      </c>
      <c r="B48" s="6" t="inlineStr">
        <is>
          <t>INC-0026-01</t>
        </is>
      </c>
      <c r="C48" s="6" t="inlineStr">
        <is>
          <t>Business Email Compromise/Email Takeover</t>
        </is>
      </c>
      <c r="D48" s="8" t="n">
        <v>500.14</v>
      </c>
      <c r="E48" s="6" t="inlineStr">
        <is>
          <t>4856467997024</t>
        </is>
      </c>
      <c r="F48" s="6" t="inlineStr">
        <is>
          <t>2025-10-28</t>
        </is>
      </c>
      <c r="G48" s="6" t="inlineStr">
        <is>
          <t>13:31:00</t>
        </is>
      </c>
      <c r="H48" s="8" t="n">
        <v>500.14</v>
      </c>
      <c r="I48" s="6" t="n">
        <v>2</v>
      </c>
      <c r="J48" s="6" t="inlineStr">
        <is>
          <t>UCO Bank</t>
        </is>
      </c>
      <c r="K48" s="6" t="n">
        <v>14</v>
      </c>
      <c r="L48" s="6" t="inlineStr">
        <is>
          <t>UCBA0065307</t>
        </is>
      </c>
      <c r="M48" s="6" t="inlineStr">
        <is>
          <t>45054447132475</t>
        </is>
      </c>
    </row>
    <row r="49">
      <c r="A49" s="6" t="inlineStr">
        <is>
          <t>31608230000027</t>
        </is>
      </c>
      <c r="B49" s="6" t="inlineStr">
        <is>
          <t>INC-0027-01</t>
        </is>
      </c>
      <c r="C49" s="6" t="inlineStr">
        <is>
          <t>Business Email Compromise/Email Takeover</t>
        </is>
      </c>
      <c r="D49" s="8" t="n">
        <v>1250.1</v>
      </c>
      <c r="E49" s="6" t="inlineStr">
        <is>
          <t>4466574374896</t>
        </is>
      </c>
      <c r="F49" s="6" t="inlineStr">
        <is>
          <t>2025-10-13</t>
        </is>
      </c>
      <c r="G49" s="6" t="inlineStr">
        <is>
          <t>12:32:00</t>
        </is>
      </c>
      <c r="H49" s="8" t="n">
        <v>1250.1</v>
      </c>
      <c r="I49" s="6" t="n">
        <v>1</v>
      </c>
      <c r="J49" s="6" t="inlineStr">
        <is>
          <t>Canara Bank</t>
        </is>
      </c>
      <c r="K49" s="6" t="n">
        <v>12</v>
      </c>
      <c r="L49" s="6" t="inlineStr">
        <is>
          <t>CNRB0417154</t>
        </is>
      </c>
      <c r="M49" s="6" t="inlineStr">
        <is>
          <t>54443283096520</t>
        </is>
      </c>
    </row>
    <row r="50">
      <c r="A50" s="6" t="inlineStr">
        <is>
          <t>31608230000027</t>
        </is>
      </c>
      <c r="B50" s="6" t="inlineStr">
        <is>
          <t>INC-0027-02</t>
        </is>
      </c>
      <c r="C50" s="6" t="inlineStr">
        <is>
          <t>Business Email Compromise/Email Takeover</t>
        </is>
      </c>
      <c r="D50" s="8" t="n">
        <v>4999.78</v>
      </c>
      <c r="E50" s="6" t="inlineStr">
        <is>
          <t>7446660993538</t>
        </is>
      </c>
      <c r="F50" s="6" t="inlineStr">
        <is>
          <t>2025-10-13</t>
        </is>
      </c>
      <c r="G50" s="6" t="inlineStr">
        <is>
          <t>12:46:00</t>
        </is>
      </c>
      <c r="H50" s="8" t="n">
        <v>4999.78</v>
      </c>
      <c r="I50" s="6" t="n">
        <v>1</v>
      </c>
      <c r="J50" s="6" t="inlineStr">
        <is>
          <t>Canara Bank</t>
        </is>
      </c>
      <c r="K50" s="6" t="n">
        <v>12</v>
      </c>
      <c r="L50" s="6" t="inlineStr">
        <is>
          <t>CNRB0282417</t>
        </is>
      </c>
      <c r="M50" s="6" t="inlineStr">
        <is>
          <t>24825135346554</t>
        </is>
      </c>
    </row>
    <row r="51">
      <c r="A51" s="6" t="inlineStr">
        <is>
          <t>31608230000027</t>
        </is>
      </c>
      <c r="B51" s="6" t="inlineStr">
        <is>
          <t>INC-0027-03</t>
        </is>
      </c>
      <c r="C51" s="6" t="inlineStr">
        <is>
          <t>Business Email Compromise/Email Takeover</t>
        </is>
      </c>
      <c r="D51" s="8" t="n">
        <v>35.87</v>
      </c>
      <c r="E51" s="6" t="inlineStr">
        <is>
          <t>9471709991738</t>
        </is>
      </c>
      <c r="F51" s="6" t="inlineStr">
        <is>
          <t>2025-10-13</t>
        </is>
      </c>
      <c r="G51" s="6" t="inlineStr">
        <is>
          <t>12:40:00</t>
        </is>
      </c>
      <c r="H51" s="8" t="n">
        <v>35.87</v>
      </c>
      <c r="I51" s="6" t="n">
        <v>1</v>
      </c>
      <c r="J51" s="6" t="inlineStr">
        <is>
          <t>Canara Bank</t>
        </is>
      </c>
      <c r="K51" s="6" t="n">
        <v>12</v>
      </c>
      <c r="L51" s="6" t="inlineStr">
        <is>
          <t>CNRB0602235</t>
        </is>
      </c>
      <c r="M51" s="6" t="inlineStr">
        <is>
          <t>69725217525007</t>
        </is>
      </c>
    </row>
    <row r="52">
      <c r="A52" s="6" t="inlineStr">
        <is>
          <t>31608230000028</t>
        </is>
      </c>
      <c r="B52" s="6" t="inlineStr">
        <is>
          <t>INC-0028-01</t>
        </is>
      </c>
      <c r="C52" s="6" t="inlineStr">
        <is>
          <t>UPI Related Frauds</t>
        </is>
      </c>
      <c r="D52" s="8" t="n">
        <v>35.01</v>
      </c>
      <c r="E52" s="6" t="inlineStr">
        <is>
          <t>8356420873753</t>
        </is>
      </c>
      <c r="F52" s="6" t="inlineStr">
        <is>
          <t>2025-10-10</t>
        </is>
      </c>
      <c r="G52" s="6" t="inlineStr">
        <is>
          <t>21:43:00</t>
        </is>
      </c>
      <c r="H52" s="8" t="n">
        <v>35.01</v>
      </c>
      <c r="I52" s="6" t="n">
        <v>0</v>
      </c>
      <c r="J52" s="6" t="inlineStr">
        <is>
          <t>Yes Bank</t>
        </is>
      </c>
      <c r="K52" s="6" t="n">
        <v>8</v>
      </c>
      <c r="L52" s="6" t="inlineStr">
        <is>
          <t>YESB0972181</t>
        </is>
      </c>
      <c r="M52" s="6" t="inlineStr">
        <is>
          <t>14374470120455</t>
        </is>
      </c>
    </row>
    <row r="53">
      <c r="A53" s="6" t="inlineStr">
        <is>
          <t>31608230000028</t>
        </is>
      </c>
      <c r="B53" s="6" t="inlineStr">
        <is>
          <t>INC-0028-02</t>
        </is>
      </c>
      <c r="C53" s="6" t="inlineStr">
        <is>
          <t>UPI Related Frauds</t>
        </is>
      </c>
      <c r="D53" s="8" t="n">
        <v>250.81</v>
      </c>
      <c r="E53" s="6" t="inlineStr">
        <is>
          <t>6110022557941</t>
        </is>
      </c>
      <c r="F53" s="6" t="inlineStr">
        <is>
          <t>2025-10-11</t>
        </is>
      </c>
      <c r="G53" s="6" t="inlineStr">
        <is>
          <t>01:06:00</t>
        </is>
      </c>
      <c r="H53" s="8" t="n">
        <v>250.81</v>
      </c>
      <c r="I53" s="6" t="n">
        <v>0</v>
      </c>
      <c r="J53" s="6" t="inlineStr">
        <is>
          <t>UCO Bank</t>
        </is>
      </c>
      <c r="K53" s="6" t="n">
        <v>14</v>
      </c>
      <c r="L53" s="6" t="inlineStr">
        <is>
          <t>UCBA0674676</t>
        </is>
      </c>
      <c r="M53" s="6" t="inlineStr">
        <is>
          <t>21202169797296</t>
        </is>
      </c>
    </row>
    <row r="54">
      <c r="A54" s="6" t="inlineStr">
        <is>
          <t>31608230000029</t>
        </is>
      </c>
      <c r="B54" s="6" t="inlineStr">
        <is>
          <t>INC-0029-01</t>
        </is>
      </c>
      <c r="C54" s="6" t="inlineStr">
        <is>
          <t>UPI Related Frauds</t>
        </is>
      </c>
      <c r="D54" s="8" t="n">
        <v>1250.21</v>
      </c>
      <c r="E54" s="6" t="inlineStr">
        <is>
          <t>0166088019948</t>
        </is>
      </c>
      <c r="F54" s="6" t="inlineStr">
        <is>
          <t>2025-10-07</t>
        </is>
      </c>
      <c r="G54" s="6" t="inlineStr">
        <is>
          <t>01:14:00</t>
        </is>
      </c>
      <c r="H54" s="8" t="n">
        <v>1250.21</v>
      </c>
      <c r="I54" s="6" t="n">
        <v>2</v>
      </c>
      <c r="J54" s="6" t="inlineStr">
        <is>
          <t>Union Bank of India</t>
        </is>
      </c>
      <c r="K54" s="6" t="n">
        <v>13</v>
      </c>
      <c r="L54" s="6" t="inlineStr">
        <is>
          <t>UBIN0503758</t>
        </is>
      </c>
      <c r="M54" s="6" t="inlineStr">
        <is>
          <t>99757113055488</t>
        </is>
      </c>
    </row>
    <row r="55">
      <c r="A55" s="6" t="inlineStr">
        <is>
          <t>31608230000029</t>
        </is>
      </c>
      <c r="B55" s="6" t="inlineStr">
        <is>
          <t>INC-0029-02</t>
        </is>
      </c>
      <c r="C55" s="6" t="inlineStr">
        <is>
          <t>UPI Related Frauds</t>
        </is>
      </c>
      <c r="D55" s="8" t="n">
        <v>9999.389999999999</v>
      </c>
      <c r="E55" s="6" t="inlineStr">
        <is>
          <t>5102726149331</t>
        </is>
      </c>
      <c r="F55" s="6" t="inlineStr">
        <is>
          <t>2025-10-06</t>
        </is>
      </c>
      <c r="G55" s="6" t="inlineStr">
        <is>
          <t>23:39:00</t>
        </is>
      </c>
      <c r="H55" s="8" t="n">
        <v>9999.389999999999</v>
      </c>
      <c r="I55" s="6" t="n">
        <v>1</v>
      </c>
      <c r="J55" s="6" t="inlineStr">
        <is>
          <t>IDFC FIRST Bank</t>
        </is>
      </c>
      <c r="K55" s="6" t="n">
        <v>11</v>
      </c>
      <c r="L55" s="6" t="inlineStr">
        <is>
          <t>IDFB0516091</t>
        </is>
      </c>
      <c r="M55" s="6" t="inlineStr">
        <is>
          <t>77982708086978</t>
        </is>
      </c>
    </row>
    <row r="56">
      <c r="A56" s="6" t="inlineStr">
        <is>
          <t>31608230000030</t>
        </is>
      </c>
      <c r="B56" s="6" t="inlineStr">
        <is>
          <t>INC-0030-01</t>
        </is>
      </c>
      <c r="C56" s="6" t="inlineStr">
        <is>
          <t>UPI Related Frauds</t>
        </is>
      </c>
      <c r="D56" s="8" t="n">
        <v>35.33</v>
      </c>
      <c r="E56" s="6" t="inlineStr">
        <is>
          <t>2816064842294</t>
        </is>
      </c>
      <c r="F56" s="6" t="inlineStr">
        <is>
          <t>2025-10-04</t>
        </is>
      </c>
      <c r="G56" s="6" t="inlineStr">
        <is>
          <t>23:30:00</t>
        </is>
      </c>
      <c r="H56" s="8" t="n">
        <v>35.33</v>
      </c>
      <c r="I56" s="6" t="n">
        <v>0</v>
      </c>
      <c r="J56" s="6" t="inlineStr">
        <is>
          <t>IndusInd Bank</t>
        </is>
      </c>
      <c r="K56" s="6" t="n">
        <v>9</v>
      </c>
      <c r="L56" s="6" t="inlineStr">
        <is>
          <t>INDB0590947</t>
        </is>
      </c>
      <c r="M56" s="6" t="inlineStr">
        <is>
          <t>98515832818268</t>
        </is>
      </c>
    </row>
  </sheetData>
  <autoFilter ref="A1:M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8" customWidth="1" min="3" max="3"/>
    <col width="21" customWidth="1" min="4" max="4"/>
    <col width="18" customWidth="1" min="5" max="5"/>
    <col width="20" customWidth="1" min="6" max="6"/>
    <col width="13" customWidth="1" min="7" max="7"/>
    <col width="15" customWidth="1" min="8" max="8"/>
    <col width="20" customWidth="1" min="9" max="9"/>
  </cols>
  <sheetData>
    <row r="1" ht="22" customHeight="1">
      <c r="A1" s="4" t="inlineStr">
        <is>
          <t>case_id</t>
        </is>
      </c>
      <c r="B1" s="4" t="inlineStr">
        <is>
          <t>acknowledgement_no</t>
        </is>
      </c>
      <c r="C1" s="4" t="inlineStr">
        <is>
          <t>job_id</t>
        </is>
      </c>
      <c r="D1" s="4" t="inlineStr">
        <is>
          <t>created_at</t>
        </is>
      </c>
      <c r="E1" s="4" t="inlineStr">
        <is>
          <t>assigned_queue</t>
        </is>
      </c>
      <c r="F1" s="4" t="inlineStr">
        <is>
          <t>assigned_branch_id</t>
        </is>
      </c>
      <c r="G1" s="4" t="inlineStr">
        <is>
          <t>priority</t>
        </is>
      </c>
      <c r="H1" s="4" t="inlineStr">
        <is>
          <t>current_state</t>
        </is>
      </c>
      <c r="I1" s="4" t="inlineStr">
        <is>
          <t>scenario</t>
        </is>
      </c>
    </row>
    <row r="2">
      <c r="A2" s="6" t="inlineStr">
        <is>
          <t>I4C-CASE-2025-0001</t>
        </is>
      </c>
      <c r="B2" s="6" t="inlineStr">
        <is>
          <t>31608230000001</t>
        </is>
      </c>
      <c r="C2" s="6" t="inlineStr">
        <is>
          <t>a809e351-37a8-4017-9977-dc4d0e60ec7b</t>
        </is>
      </c>
      <c r="D2" s="7" t="n">
        <v>45944.26747685186</v>
      </c>
      <c r="E2" s="6" t="inlineStr">
        <is>
          <t>BRANCH_OPS</t>
        </is>
      </c>
      <c r="F2" s="6" t="inlineStr">
        <is>
          <t>BR-006</t>
        </is>
      </c>
      <c r="G2" s="6" t="inlineStr">
        <is>
          <t>P3-MEDIUM</t>
        </is>
      </c>
      <c r="H2" s="6" t="inlineStr">
        <is>
          <t>RECEIVED</t>
        </is>
      </c>
      <c r="I2" s="6" t="inlineStr">
        <is>
          <t>NEGATIVE_LIEN</t>
        </is>
      </c>
    </row>
    <row r="3">
      <c r="A3" s="6" t="inlineStr">
        <is>
          <t>I4C-CASE-2025-0002</t>
        </is>
      </c>
      <c r="B3" s="6" t="inlineStr">
        <is>
          <t>31608230000002</t>
        </is>
      </c>
      <c r="C3" s="6" t="inlineStr">
        <is>
          <t>dc8ac3a9-c97b-4688-a12b-989696a01ca5</t>
        </is>
      </c>
      <c r="D3" s="7" t="n">
        <v>45950.07303240741</v>
      </c>
      <c r="E3" s="6" t="inlineStr">
        <is>
          <t>DIGITAL_CHANNELS</t>
        </is>
      </c>
      <c r="F3" s="6" t="inlineStr">
        <is>
          <t>BR-006</t>
        </is>
      </c>
      <c r="G3" s="6" t="inlineStr">
        <is>
          <t>P3-MEDIUM</t>
        </is>
      </c>
      <c r="H3" s="6" t="inlineStr">
        <is>
          <t>RECEIVED</t>
        </is>
      </c>
      <c r="I3" s="6" t="inlineStr">
        <is>
          <t>HOLD_PLACED</t>
        </is>
      </c>
    </row>
    <row r="4">
      <c r="A4" s="6" t="inlineStr">
        <is>
          <t>I4C-CASE-2025-0003</t>
        </is>
      </c>
      <c r="B4" s="6" t="inlineStr">
        <is>
          <t>31608230000003</t>
        </is>
      </c>
      <c r="C4" s="6" t="inlineStr">
        <is>
          <t>a7cd9031-8026-4865-a5bf-503cb85d456b</t>
        </is>
      </c>
      <c r="D4" s="7" t="n">
        <v>45955.93414351852</v>
      </c>
      <c r="E4" s="6" t="inlineStr">
        <is>
          <t>BRANCH_OPS</t>
        </is>
      </c>
      <c r="F4" s="6" t="inlineStr">
        <is>
          <t>BR-005</t>
        </is>
      </c>
      <c r="G4" s="6" t="inlineStr">
        <is>
          <t>P1-CRITICAL</t>
        </is>
      </c>
      <c r="H4" s="6" t="inlineStr">
        <is>
          <t>RECEIVED</t>
        </is>
      </c>
      <c r="I4" s="6" t="inlineStr">
        <is>
          <t>HOLD_PLACED</t>
        </is>
      </c>
    </row>
    <row r="5">
      <c r="A5" s="6" t="inlineStr">
        <is>
          <t>I4C-CASE-2025-0004</t>
        </is>
      </c>
      <c r="B5" s="6" t="inlineStr">
        <is>
          <t>31608230000004</t>
        </is>
      </c>
      <c r="C5" s="6" t="inlineStr">
        <is>
          <t>260f5953-5ef8-4b0a-9ad0-aa82d14417c5</t>
        </is>
      </c>
      <c r="D5" s="7" t="n">
        <v>45936.94456018518</v>
      </c>
      <c r="E5" s="6" t="inlineStr">
        <is>
          <t>BRANCH_OPS</t>
        </is>
      </c>
      <c r="F5" s="6" t="inlineStr">
        <is>
          <t>BR-009</t>
        </is>
      </c>
      <c r="G5" s="6" t="inlineStr">
        <is>
          <t>P2-HIGH</t>
        </is>
      </c>
      <c r="H5" s="6" t="inlineStr">
        <is>
          <t>RECEIVED</t>
        </is>
      </c>
      <c r="I5" s="6" t="inlineStr">
        <is>
          <t>PARTIAL_HOLD</t>
        </is>
      </c>
    </row>
    <row r="6">
      <c r="A6" s="6" t="inlineStr">
        <is>
          <t>I4C-CASE-2025-0005</t>
        </is>
      </c>
      <c r="B6" s="6" t="inlineStr">
        <is>
          <t>31608230000005</t>
        </is>
      </c>
      <c r="C6" s="6" t="inlineStr">
        <is>
          <t>b84e9000-babf-4700-b34e-ccc2ca1554ce</t>
        </is>
      </c>
      <c r="D6" s="7" t="n">
        <v>45957.15983796296</v>
      </c>
      <c r="E6" s="6" t="inlineStr">
        <is>
          <t>DIGITAL_CHANNELS</t>
        </is>
      </c>
      <c r="F6" s="6" t="inlineStr">
        <is>
          <t>BR-003</t>
        </is>
      </c>
      <c r="G6" s="6" t="inlineStr">
        <is>
          <t>P2-HIGH</t>
        </is>
      </c>
      <c r="H6" s="6" t="inlineStr">
        <is>
          <t>RECEIVED</t>
        </is>
      </c>
      <c r="I6" s="6" t="inlineStr">
        <is>
          <t>ACCOUNT_NOT_FOUND</t>
        </is>
      </c>
    </row>
    <row r="7">
      <c r="A7" s="6" t="inlineStr">
        <is>
          <t>I4C-CASE-2025-0006</t>
        </is>
      </c>
      <c r="B7" s="6" t="inlineStr">
        <is>
          <t>31608230000006</t>
        </is>
      </c>
      <c r="C7" s="6" t="inlineStr">
        <is>
          <t>87ad8bc0-8306-4d41-95e4-f3591d26c43f</t>
        </is>
      </c>
      <c r="D7" s="7" t="n">
        <v>45947.56261574074</v>
      </c>
      <c r="E7" s="6" t="inlineStr">
        <is>
          <t>HO_FRAUD_DESK</t>
        </is>
      </c>
      <c r="F7" s="6" t="inlineStr">
        <is>
          <t>BR-009</t>
        </is>
      </c>
      <c r="G7" s="6" t="inlineStr">
        <is>
          <t>P2-HIGH</t>
        </is>
      </c>
      <c r="H7" s="6" t="inlineStr">
        <is>
          <t>RECEIVED</t>
        </is>
      </c>
      <c r="I7" s="6" t="inlineStr">
        <is>
          <t>HOLD_PLACED</t>
        </is>
      </c>
    </row>
    <row r="8">
      <c r="A8" s="6" t="inlineStr">
        <is>
          <t>I4C-CASE-2025-0007</t>
        </is>
      </c>
      <c r="B8" s="6" t="inlineStr">
        <is>
          <t>31608230000007</t>
        </is>
      </c>
      <c r="C8" s="6" t="inlineStr">
        <is>
          <t>0797d398-04e1-458f-a273-42c1b0a09584</t>
        </is>
      </c>
      <c r="D8" s="7" t="n">
        <v>45951.56608796296</v>
      </c>
      <c r="E8" s="6" t="inlineStr">
        <is>
          <t>DIGITAL_CHANNELS</t>
        </is>
      </c>
      <c r="F8" s="6" t="inlineStr">
        <is>
          <t>BR-006</t>
        </is>
      </c>
      <c r="G8" s="6" t="inlineStr">
        <is>
          <t>P1-CRITICAL</t>
        </is>
      </c>
      <c r="H8" s="6" t="inlineStr">
        <is>
          <t>RECEIVED</t>
        </is>
      </c>
      <c r="I8" s="6" t="inlineStr">
        <is>
          <t>HOLD_PLACED</t>
        </is>
      </c>
    </row>
    <row r="9">
      <c r="A9" s="6" t="inlineStr">
        <is>
          <t>I4C-CASE-2025-0008</t>
        </is>
      </c>
      <c r="B9" s="6" t="inlineStr">
        <is>
          <t>31608230000008</t>
        </is>
      </c>
      <c r="C9" s="6" t="inlineStr">
        <is>
          <t>382fbbbe-527b-4d04-ae9f-ca5e0427223c</t>
        </is>
      </c>
      <c r="D9" s="7" t="n">
        <v>45951.95844907407</v>
      </c>
      <c r="E9" s="6" t="inlineStr">
        <is>
          <t>HO_FRAUD_DESK</t>
        </is>
      </c>
      <c r="F9" s="6" t="inlineStr">
        <is>
          <t>BR-003</t>
        </is>
      </c>
      <c r="G9" s="6" t="inlineStr">
        <is>
          <t>P3-MEDIUM</t>
        </is>
      </c>
      <c r="H9" s="6" t="inlineStr">
        <is>
          <t>RECEIVED</t>
        </is>
      </c>
      <c r="I9" s="6" t="inlineStr">
        <is>
          <t>HOLD_PLACED</t>
        </is>
      </c>
    </row>
    <row r="10">
      <c r="A10" s="6" t="inlineStr">
        <is>
          <t>I4C-CASE-2025-0009</t>
        </is>
      </c>
      <c r="B10" s="6" t="inlineStr">
        <is>
          <t>31608230000009</t>
        </is>
      </c>
      <c r="C10" s="6" t="inlineStr">
        <is>
          <t>8ebca7ef-f7dc-40cd-a99e-7537d57a4b40</t>
        </is>
      </c>
      <c r="D10" s="7" t="n">
        <v>45960.39942129629</v>
      </c>
      <c r="E10" s="6" t="inlineStr">
        <is>
          <t>BRANCH_OPS</t>
        </is>
      </c>
      <c r="F10" s="6" t="inlineStr">
        <is>
          <t>BR-004</t>
        </is>
      </c>
      <c r="G10" s="6" t="inlineStr">
        <is>
          <t>P1-CRITICAL</t>
        </is>
      </c>
      <c r="H10" s="6" t="inlineStr">
        <is>
          <t>RECEIVED</t>
        </is>
      </c>
      <c r="I10" s="6" t="inlineStr">
        <is>
          <t>HOLD_PLACED</t>
        </is>
      </c>
    </row>
    <row r="11">
      <c r="A11" s="6" t="inlineStr">
        <is>
          <t>I4C-CASE-2025-0010</t>
        </is>
      </c>
      <c r="B11" s="6" t="inlineStr">
        <is>
          <t>31608230000010</t>
        </is>
      </c>
      <c r="C11" s="6" t="inlineStr">
        <is>
          <t>7ccbb3c8-ddb8-415f-9d43-4be9e9a11433</t>
        </is>
      </c>
      <c r="D11" s="7" t="n">
        <v>45948.34386574074</v>
      </c>
      <c r="E11" s="6" t="inlineStr">
        <is>
          <t>HO_FRAUD_DESK</t>
        </is>
      </c>
      <c r="F11" s="6" t="inlineStr">
        <is>
          <t>BR-005</t>
        </is>
      </c>
      <c r="G11" s="6" t="inlineStr">
        <is>
          <t>P1-CRITICAL</t>
        </is>
      </c>
      <c r="H11" s="6" t="inlineStr">
        <is>
          <t>RECEIVED</t>
        </is>
      </c>
      <c r="I11" s="6" t="inlineStr">
        <is>
          <t>NEGATIVE_LIEN</t>
        </is>
      </c>
    </row>
    <row r="12">
      <c r="A12" s="6" t="inlineStr">
        <is>
          <t>I4C-CASE-2025-0011</t>
        </is>
      </c>
      <c r="B12" s="6" t="inlineStr">
        <is>
          <t>31608230000011</t>
        </is>
      </c>
      <c r="C12" s="6" t="inlineStr">
        <is>
          <t>f2a9ed34-112d-43e1-99ae-06af4acc27ef</t>
        </is>
      </c>
      <c r="D12" s="7" t="n">
        <v>45933.50011574074</v>
      </c>
      <c r="E12" s="6" t="inlineStr">
        <is>
          <t>DIGITAL_CHANNELS</t>
        </is>
      </c>
      <c r="F12" s="6" t="inlineStr">
        <is>
          <t>BR-002</t>
        </is>
      </c>
      <c r="G12" s="6" t="inlineStr">
        <is>
          <t>P3-MEDIUM</t>
        </is>
      </c>
      <c r="H12" s="6" t="inlineStr">
        <is>
          <t>RECEIVED</t>
        </is>
      </c>
      <c r="I12" s="6" t="inlineStr">
        <is>
          <t>HOLD_PLACED</t>
        </is>
      </c>
    </row>
    <row r="13">
      <c r="A13" s="6" t="inlineStr">
        <is>
          <t>I4C-CASE-2025-0012</t>
        </is>
      </c>
      <c r="B13" s="6" t="inlineStr">
        <is>
          <t>31608230000012</t>
        </is>
      </c>
      <c r="C13" s="6" t="inlineStr">
        <is>
          <t>fb1b1cf6-96ac-46a4-84ac-3eacc39b2bd8</t>
        </is>
      </c>
      <c r="D13" s="7" t="n">
        <v>45946.88900462963</v>
      </c>
      <c r="E13" s="6" t="inlineStr">
        <is>
          <t>HO_FRAUD_DESK</t>
        </is>
      </c>
      <c r="F13" s="6" t="inlineStr">
        <is>
          <t>BR-010</t>
        </is>
      </c>
      <c r="G13" s="6" t="inlineStr">
        <is>
          <t>P1-CRITICAL</t>
        </is>
      </c>
      <c r="H13" s="6" t="inlineStr">
        <is>
          <t>RECEIVED</t>
        </is>
      </c>
      <c r="I13" s="6" t="inlineStr">
        <is>
          <t>PARTIAL_HOLD</t>
        </is>
      </c>
    </row>
    <row r="14">
      <c r="A14" s="6" t="inlineStr">
        <is>
          <t>I4C-CASE-2025-0013</t>
        </is>
      </c>
      <c r="B14" s="6" t="inlineStr">
        <is>
          <t>31608230000013</t>
        </is>
      </c>
      <c r="C14" s="6" t="inlineStr">
        <is>
          <t>17c42136-f082-48bc-b610-0672d0d42072</t>
        </is>
      </c>
      <c r="D14" s="7" t="n">
        <v>45955.39942129629</v>
      </c>
      <c r="E14" s="6" t="inlineStr">
        <is>
          <t>BRANCH_OPS</t>
        </is>
      </c>
      <c r="F14" s="6" t="inlineStr">
        <is>
          <t>BR-006</t>
        </is>
      </c>
      <c r="G14" s="6" t="inlineStr">
        <is>
          <t>P2-HIGH</t>
        </is>
      </c>
      <c r="H14" s="6" t="inlineStr">
        <is>
          <t>RECEIVED</t>
        </is>
      </c>
      <c r="I14" s="6" t="inlineStr">
        <is>
          <t>DEPENDENCY_TIMEOUT</t>
        </is>
      </c>
    </row>
    <row r="15">
      <c r="A15" s="6" t="inlineStr">
        <is>
          <t>I4C-CASE-2025-0014</t>
        </is>
      </c>
      <c r="B15" s="6" t="inlineStr">
        <is>
          <t>31608230000014</t>
        </is>
      </c>
      <c r="C15" s="6" t="inlineStr">
        <is>
          <t>85909e1c-12aa-470f-981c-2741dccddf7f</t>
        </is>
      </c>
      <c r="D15" s="7" t="n">
        <v>45947.40636574074</v>
      </c>
      <c r="E15" s="6" t="inlineStr">
        <is>
          <t>DIGITAL_CHANNELS</t>
        </is>
      </c>
      <c r="F15" s="6" t="inlineStr">
        <is>
          <t>BR-005</t>
        </is>
      </c>
      <c r="G15" s="6" t="inlineStr">
        <is>
          <t>P3-MEDIUM</t>
        </is>
      </c>
      <c r="H15" s="6" t="inlineStr">
        <is>
          <t>RECEIVED</t>
        </is>
      </c>
      <c r="I15" s="6" t="inlineStr">
        <is>
          <t>ACCOUNT_NOT_FOUND</t>
        </is>
      </c>
    </row>
    <row r="16">
      <c r="A16" s="6" t="inlineStr">
        <is>
          <t>I4C-CASE-2025-0015</t>
        </is>
      </c>
      <c r="B16" s="6" t="inlineStr">
        <is>
          <t>31608230000015</t>
        </is>
      </c>
      <c r="C16" s="6" t="inlineStr">
        <is>
          <t>e1bf6439-b35d-4699-8f1a-9e23440e90aa</t>
        </is>
      </c>
      <c r="D16" s="7" t="n">
        <v>45936.81956018518</v>
      </c>
      <c r="E16" s="6" t="inlineStr">
        <is>
          <t>HO_FRAUD_DESK</t>
        </is>
      </c>
      <c r="F16" s="6" t="inlineStr">
        <is>
          <t>BR-009</t>
        </is>
      </c>
      <c r="G16" s="6" t="inlineStr">
        <is>
          <t>P1-CRITICAL</t>
        </is>
      </c>
      <c r="H16" s="6" t="inlineStr">
        <is>
          <t>RECEIVED</t>
        </is>
      </c>
      <c r="I16" s="6" t="inlineStr">
        <is>
          <t>NEGATIVE_LIEN</t>
        </is>
      </c>
    </row>
    <row r="17">
      <c r="A17" s="6" t="inlineStr">
        <is>
          <t>I4C-CASE-2025-0016</t>
        </is>
      </c>
      <c r="B17" s="6" t="inlineStr">
        <is>
          <t>31608230000016</t>
        </is>
      </c>
      <c r="C17" s="6" t="inlineStr">
        <is>
          <t>79a28af4-62f8-4124-bbf2-32c6e9d92329</t>
        </is>
      </c>
      <c r="D17" s="7" t="n">
        <v>45952.68414351852</v>
      </c>
      <c r="E17" s="6" t="inlineStr">
        <is>
          <t>NODAL_OFFICE</t>
        </is>
      </c>
      <c r="F17" s="6" t="inlineStr">
        <is>
          <t>BR-009</t>
        </is>
      </c>
      <c r="G17" s="6" t="inlineStr">
        <is>
          <t>P1-CRITICAL</t>
        </is>
      </c>
      <c r="H17" s="6" t="inlineStr">
        <is>
          <t>RECEIVED</t>
        </is>
      </c>
      <c r="I17" s="6" t="inlineStr">
        <is>
          <t>PARTIAL_HOLD</t>
        </is>
      </c>
    </row>
    <row r="18">
      <c r="A18" s="6" t="inlineStr">
        <is>
          <t>I4C-CASE-2025-0017</t>
        </is>
      </c>
      <c r="B18" s="6" t="inlineStr">
        <is>
          <t>31608230000017</t>
        </is>
      </c>
      <c r="C18" s="6" t="inlineStr">
        <is>
          <t>8f9d0193-d0ef-4ff0-8143-60e737c9760e</t>
        </is>
      </c>
      <c r="D18" s="7" t="n">
        <v>45949.36817129629</v>
      </c>
      <c r="E18" s="6" t="inlineStr">
        <is>
          <t>DIGITAL_CHANNELS</t>
        </is>
      </c>
      <c r="F18" s="6" t="inlineStr">
        <is>
          <t>BR-004</t>
        </is>
      </c>
      <c r="G18" s="6" t="inlineStr">
        <is>
          <t>P2-HIGH</t>
        </is>
      </c>
      <c r="H18" s="6" t="inlineStr">
        <is>
          <t>RECEIVED</t>
        </is>
      </c>
      <c r="I18" s="6" t="inlineStr">
        <is>
          <t>HOLD_PLACED</t>
        </is>
      </c>
    </row>
    <row r="19">
      <c r="A19" s="6" t="inlineStr">
        <is>
          <t>I4C-CASE-2025-0018</t>
        </is>
      </c>
      <c r="B19" s="6" t="inlineStr">
        <is>
          <t>31608230000018</t>
        </is>
      </c>
      <c r="C19" s="6" t="inlineStr">
        <is>
          <t>a392623d-7711-4020-a2c9-793555384b0b</t>
        </is>
      </c>
      <c r="D19" s="7" t="n">
        <v>45948.84733796296</v>
      </c>
      <c r="E19" s="6" t="inlineStr">
        <is>
          <t>BRANCH_OPS</t>
        </is>
      </c>
      <c r="F19" s="6" t="inlineStr">
        <is>
          <t>BR-010</t>
        </is>
      </c>
      <c r="G19" s="6" t="inlineStr">
        <is>
          <t>P2-HIGH</t>
        </is>
      </c>
      <c r="H19" s="6" t="inlineStr">
        <is>
          <t>RECEIVED</t>
        </is>
      </c>
      <c r="I19" s="6" t="inlineStr">
        <is>
          <t>HOLD_PLACED</t>
        </is>
      </c>
    </row>
    <row r="20">
      <c r="A20" s="6" t="inlineStr">
        <is>
          <t>I4C-CASE-2025-0019</t>
        </is>
      </c>
      <c r="B20" s="6" t="inlineStr">
        <is>
          <t>31608230000019</t>
        </is>
      </c>
      <c r="C20" s="6" t="inlineStr">
        <is>
          <t>5c2cbf12-f130-47b1-a973-31250ad54c30</t>
        </is>
      </c>
      <c r="D20" s="7" t="n">
        <v>45938.25011574074</v>
      </c>
      <c r="E20" s="6" t="inlineStr">
        <is>
          <t>BRANCH_OPS</t>
        </is>
      </c>
      <c r="F20" s="6" t="inlineStr">
        <is>
          <t>BR-002</t>
        </is>
      </c>
      <c r="G20" s="6" t="inlineStr">
        <is>
          <t>P2-HIGH</t>
        </is>
      </c>
      <c r="H20" s="6" t="inlineStr">
        <is>
          <t>RECEIVED</t>
        </is>
      </c>
      <c r="I20" s="6" t="inlineStr">
        <is>
          <t>NEGATIVE_LIEN</t>
        </is>
      </c>
    </row>
    <row r="21">
      <c r="A21" s="6" t="inlineStr">
        <is>
          <t>I4C-CASE-2025-0020</t>
        </is>
      </c>
      <c r="B21" s="6" t="inlineStr">
        <is>
          <t>31608230000020</t>
        </is>
      </c>
      <c r="C21" s="6" t="inlineStr">
        <is>
          <t>847dbb0e-b66b-41c0-b403-75ca9ecdc286</t>
        </is>
      </c>
      <c r="D21" s="7" t="n">
        <v>45936.91678240741</v>
      </c>
      <c r="E21" s="6" t="inlineStr">
        <is>
          <t>NODAL_OFFICE</t>
        </is>
      </c>
      <c r="F21" s="6" t="inlineStr">
        <is>
          <t>BR-002</t>
        </is>
      </c>
      <c r="G21" s="6" t="inlineStr">
        <is>
          <t>P1-CRITICAL</t>
        </is>
      </c>
      <c r="H21" s="6" t="inlineStr">
        <is>
          <t>RECEIVED</t>
        </is>
      </c>
      <c r="I21" s="6" t="inlineStr">
        <is>
          <t>HOLD_PLACED</t>
        </is>
      </c>
    </row>
    <row r="22">
      <c r="A22" s="6" t="inlineStr">
        <is>
          <t>I4C-CASE-2025-0021</t>
        </is>
      </c>
      <c r="B22" s="6" t="inlineStr">
        <is>
          <t>31608230000021</t>
        </is>
      </c>
      <c r="C22" s="6" t="inlineStr">
        <is>
          <t>cc2c80ef-e1cd-4a3f-a6fe-9aad3850ab1b</t>
        </is>
      </c>
      <c r="D22" s="7" t="n">
        <v>45937.78831018518</v>
      </c>
      <c r="E22" s="6" t="inlineStr">
        <is>
          <t>HO_FRAUD_DESK</t>
        </is>
      </c>
      <c r="F22" s="6" t="inlineStr">
        <is>
          <t>BR-001</t>
        </is>
      </c>
      <c r="G22" s="6" t="inlineStr">
        <is>
          <t>P1-CRITICAL</t>
        </is>
      </c>
      <c r="H22" s="6" t="inlineStr">
        <is>
          <t>RECEIVED</t>
        </is>
      </c>
      <c r="I22" s="6" t="inlineStr">
        <is>
          <t>NEGATIVE_LIEN</t>
        </is>
      </c>
    </row>
    <row r="23">
      <c r="A23" s="6" t="inlineStr">
        <is>
          <t>I4C-CASE-2025-0022</t>
        </is>
      </c>
      <c r="B23" s="6" t="inlineStr">
        <is>
          <t>31608230000022</t>
        </is>
      </c>
      <c r="C23" s="6" t="inlineStr">
        <is>
          <t>c448c5ea-5f48-4c6a-bd8f-92d098983753</t>
        </is>
      </c>
      <c r="D23" s="7" t="n">
        <v>45937.10428240741</v>
      </c>
      <c r="E23" s="6" t="inlineStr">
        <is>
          <t>NODAL_OFFICE</t>
        </is>
      </c>
      <c r="F23" s="6" t="inlineStr">
        <is>
          <t>BR-004</t>
        </is>
      </c>
      <c r="G23" s="6" t="inlineStr">
        <is>
          <t>P3-MEDIUM</t>
        </is>
      </c>
      <c r="H23" s="6" t="inlineStr">
        <is>
          <t>RECEIVED</t>
        </is>
      </c>
      <c r="I23" s="6" t="inlineStr">
        <is>
          <t>DEPENDENCY_TIMEOUT</t>
        </is>
      </c>
    </row>
    <row r="24">
      <c r="A24" s="6" t="inlineStr">
        <is>
          <t>I4C-CASE-2025-0023</t>
        </is>
      </c>
      <c r="B24" s="6" t="inlineStr">
        <is>
          <t>31608230000023</t>
        </is>
      </c>
      <c r="C24" s="6" t="inlineStr">
        <is>
          <t>cf64d3e6-8e1a-4394-9bf7-a06993c80807</t>
        </is>
      </c>
      <c r="D24" s="7" t="n">
        <v>45938.68414351852</v>
      </c>
      <c r="E24" s="6" t="inlineStr">
        <is>
          <t>DIGITAL_CHANNELS</t>
        </is>
      </c>
      <c r="F24" s="6" t="inlineStr">
        <is>
          <t>BR-005</t>
        </is>
      </c>
      <c r="G24" s="6" t="inlineStr">
        <is>
          <t>P2-HIGH</t>
        </is>
      </c>
      <c r="H24" s="6" t="inlineStr">
        <is>
          <t>RECEIVED</t>
        </is>
      </c>
      <c r="I24" s="6" t="inlineStr">
        <is>
          <t>HOLD_PLACED</t>
        </is>
      </c>
    </row>
    <row r="25">
      <c r="A25" s="6" t="inlineStr">
        <is>
          <t>I4C-CASE-2025-0024</t>
        </is>
      </c>
      <c r="B25" s="6" t="inlineStr">
        <is>
          <t>31608230000024</t>
        </is>
      </c>
      <c r="C25" s="6" t="inlineStr">
        <is>
          <t>fd508175-47e4-4db9-9acc-f5b2c60a8ea5</t>
        </is>
      </c>
      <c r="D25" s="7" t="n">
        <v>45953.32650462963</v>
      </c>
      <c r="E25" s="6" t="inlineStr">
        <is>
          <t>BRANCH_OPS</t>
        </is>
      </c>
      <c r="F25" s="6" t="inlineStr">
        <is>
          <t>BR-010</t>
        </is>
      </c>
      <c r="G25" s="6" t="inlineStr">
        <is>
          <t>P2-HIGH</t>
        </is>
      </c>
      <c r="H25" s="6" t="inlineStr">
        <is>
          <t>RECEIVED</t>
        </is>
      </c>
      <c r="I25" s="6" t="inlineStr">
        <is>
          <t>ACCOUNT_NOT_FOUND</t>
        </is>
      </c>
    </row>
    <row r="26">
      <c r="A26" s="6" t="inlineStr">
        <is>
          <t>I4C-CASE-2025-0025</t>
        </is>
      </c>
      <c r="B26" s="6" t="inlineStr">
        <is>
          <t>31608230000025</t>
        </is>
      </c>
      <c r="C26" s="6" t="inlineStr">
        <is>
          <t>e6020150-28c4-4133-b8bf-8b84494d3c11</t>
        </is>
      </c>
      <c r="D26" s="7" t="n">
        <v>45946.81956018518</v>
      </c>
      <c r="E26" s="6" t="inlineStr">
        <is>
          <t>BRANCH_OPS</t>
        </is>
      </c>
      <c r="F26" s="6" t="inlineStr">
        <is>
          <t>BR-005</t>
        </is>
      </c>
      <c r="G26" s="6" t="inlineStr">
        <is>
          <t>P2-HIGH</t>
        </is>
      </c>
      <c r="H26" s="6" t="inlineStr">
        <is>
          <t>RECEIVED</t>
        </is>
      </c>
      <c r="I26" s="6" t="inlineStr">
        <is>
          <t>HOLD_PLACED</t>
        </is>
      </c>
    </row>
    <row r="27">
      <c r="A27" s="6" t="inlineStr">
        <is>
          <t>I4C-CASE-2025-0026</t>
        </is>
      </c>
      <c r="B27" s="6" t="inlineStr">
        <is>
          <t>31608230000026</t>
        </is>
      </c>
      <c r="C27" s="6" t="inlineStr">
        <is>
          <t>0c3b8a7e-84e0-4bf7-90b1-90943ee41090</t>
        </is>
      </c>
      <c r="D27" s="7" t="n">
        <v>45958.68761574074</v>
      </c>
      <c r="E27" s="6" t="inlineStr">
        <is>
          <t>HO_FRAUD_DESK</t>
        </is>
      </c>
      <c r="F27" s="6" t="inlineStr">
        <is>
          <t>BR-007</t>
        </is>
      </c>
      <c r="G27" s="6" t="inlineStr">
        <is>
          <t>P1-CRITICAL</t>
        </is>
      </c>
      <c r="H27" s="6" t="inlineStr">
        <is>
          <t>RECEIVED</t>
        </is>
      </c>
      <c r="I27" s="6" t="inlineStr">
        <is>
          <t>HOLD_PLACED</t>
        </is>
      </c>
    </row>
    <row r="28">
      <c r="A28" s="6" t="inlineStr">
        <is>
          <t>I4C-CASE-2025-0027</t>
        </is>
      </c>
      <c r="B28" s="6" t="inlineStr">
        <is>
          <t>31608230000027</t>
        </is>
      </c>
      <c r="C28" s="6" t="inlineStr">
        <is>
          <t>4ad56b6f-7e0f-4744-a89a-aed047152451</t>
        </is>
      </c>
      <c r="D28" s="7" t="n">
        <v>45943.62511574074</v>
      </c>
      <c r="E28" s="6" t="inlineStr">
        <is>
          <t>BRANCH_OPS</t>
        </is>
      </c>
      <c r="F28" s="6" t="inlineStr">
        <is>
          <t>BR-004</t>
        </is>
      </c>
      <c r="G28" s="6" t="inlineStr">
        <is>
          <t>P3-MEDIUM</t>
        </is>
      </c>
      <c r="H28" s="6" t="inlineStr">
        <is>
          <t>RECEIVED</t>
        </is>
      </c>
      <c r="I28" s="6" t="inlineStr">
        <is>
          <t>ACCOUNT_NOT_FOUND</t>
        </is>
      </c>
    </row>
    <row r="29">
      <c r="A29" s="6" t="inlineStr">
        <is>
          <t>I4C-CASE-2025-0028</t>
        </is>
      </c>
      <c r="B29" s="6" t="inlineStr">
        <is>
          <t>31608230000028</t>
        </is>
      </c>
      <c r="C29" s="6" t="inlineStr">
        <is>
          <t>e15f19c7-2369-41e3-a3b6-5ec3f50b7c2f</t>
        </is>
      </c>
      <c r="D29" s="7" t="n">
        <v>45941.06956018518</v>
      </c>
      <c r="E29" s="6" t="inlineStr">
        <is>
          <t>HO_FRAUD_DESK</t>
        </is>
      </c>
      <c r="F29" s="6" t="inlineStr">
        <is>
          <t>BR-010</t>
        </is>
      </c>
      <c r="G29" s="6" t="inlineStr">
        <is>
          <t>P3-MEDIUM</t>
        </is>
      </c>
      <c r="H29" s="6" t="inlineStr">
        <is>
          <t>RECEIVED</t>
        </is>
      </c>
      <c r="I29" s="6" t="inlineStr">
        <is>
          <t>HOLD_PLACED</t>
        </is>
      </c>
    </row>
    <row r="30">
      <c r="A30" s="6" t="inlineStr">
        <is>
          <t>I4C-CASE-2025-0029</t>
        </is>
      </c>
      <c r="B30" s="6" t="inlineStr">
        <is>
          <t>31608230000029</t>
        </is>
      </c>
      <c r="C30" s="6" t="inlineStr">
        <is>
          <t>47f45dd2-b53d-45e3-8eed-29c832f5cb8b</t>
        </is>
      </c>
      <c r="D30" s="7" t="n">
        <v>45937.13553240741</v>
      </c>
      <c r="E30" s="6" t="inlineStr">
        <is>
          <t>BRANCH_OPS</t>
        </is>
      </c>
      <c r="F30" s="6" t="inlineStr">
        <is>
          <t>BR-010</t>
        </is>
      </c>
      <c r="G30" s="6" t="inlineStr">
        <is>
          <t>P3-MEDIUM</t>
        </is>
      </c>
      <c r="H30" s="6" t="inlineStr">
        <is>
          <t>RECEIVED</t>
        </is>
      </c>
      <c r="I30" s="6" t="inlineStr">
        <is>
          <t>HOLD_PLACED</t>
        </is>
      </c>
    </row>
    <row r="31">
      <c r="A31" s="6" t="inlineStr">
        <is>
          <t>I4C-CASE-2025-0030</t>
        </is>
      </c>
      <c r="B31" s="6" t="inlineStr">
        <is>
          <t>31608230000030</t>
        </is>
      </c>
      <c r="C31" s="6" t="inlineStr">
        <is>
          <t>38c47fb7-350b-4e16-bd31-1c77d36f369d</t>
        </is>
      </c>
      <c r="D31" s="7" t="n">
        <v>45934.98969907407</v>
      </c>
      <c r="E31" s="6" t="inlineStr">
        <is>
          <t>DIGITAL_CHANNELS</t>
        </is>
      </c>
      <c r="F31" s="6" t="inlineStr">
        <is>
          <t>BR-002</t>
        </is>
      </c>
      <c r="G31" s="6" t="inlineStr">
        <is>
          <t>P1-CRITICAL</t>
        </is>
      </c>
      <c r="H31" s="6" t="inlineStr">
        <is>
          <t>RECEIVED</t>
        </is>
      </c>
      <c r="I31" s="6" t="inlineStr">
        <is>
          <t>ACCOUNT_NOT_FOUND</t>
        </is>
      </c>
    </row>
  </sheetData>
  <autoFilter ref="A1:I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3" customWidth="1" min="4" max="4"/>
    <col width="15" customWidth="1" min="5" max="5"/>
    <col width="21" customWidth="1" min="6" max="6"/>
    <col width="18" customWidth="1" min="7" max="7"/>
    <col width="15" customWidth="1" min="8" max="8"/>
    <col width="13" customWidth="1" min="9" max="9"/>
    <col width="16" customWidth="1" min="10" max="10"/>
    <col width="20" customWidth="1" min="11" max="11"/>
    <col width="15" customWidth="1" min="12" max="12"/>
    <col width="45" customWidth="1" min="13" max="13"/>
  </cols>
  <sheetData>
    <row r="1" ht="22" customHeight="1">
      <c r="A1" s="4" t="inlineStr">
        <is>
          <t>action_id</t>
        </is>
      </c>
      <c r="B1" s="4" t="inlineStr">
        <is>
          <t>case_id</t>
        </is>
      </c>
      <c r="C1" s="4" t="inlineStr">
        <is>
          <t>acknowledgement_no</t>
        </is>
      </c>
      <c r="D1" s="4" t="inlineStr">
        <is>
          <t>incident_id</t>
        </is>
      </c>
      <c r="E1" s="4" t="inlineStr">
        <is>
          <t>action_type</t>
        </is>
      </c>
      <c r="F1" s="4" t="inlineStr">
        <is>
          <t>action_time</t>
        </is>
      </c>
      <c r="G1" s="4" t="inlineStr">
        <is>
          <t>requested_amount</t>
        </is>
      </c>
      <c r="H1" s="4" t="inlineStr">
        <is>
          <t>action_amount</t>
        </is>
      </c>
      <c r="I1" s="4" t="inlineStr">
        <is>
          <t>held_amount</t>
        </is>
      </c>
      <c r="J1" s="4" t="inlineStr">
        <is>
          <t>hold_reference</t>
        </is>
      </c>
      <c r="K1" s="4" t="inlineStr">
        <is>
          <t>negative_lien_flag</t>
        </is>
      </c>
      <c r="L1" s="4" t="inlineStr">
        <is>
          <t>outcome</t>
        </is>
      </c>
      <c r="M1" s="4" t="inlineStr">
        <is>
          <t>remarks</t>
        </is>
      </c>
    </row>
    <row r="2">
      <c r="A2" s="6" t="inlineStr">
        <is>
          <t>ACT-0001-01</t>
        </is>
      </c>
      <c r="B2" s="6" t="inlineStr">
        <is>
          <t>I4C-CASE-2025-0001</t>
        </is>
      </c>
      <c r="C2" s="6" t="inlineStr">
        <is>
          <t>31608230000001</t>
        </is>
      </c>
      <c r="D2" s="6" t="inlineStr">
        <is>
          <t>INC-0001-01</t>
        </is>
      </c>
      <c r="E2" s="6" t="inlineStr">
        <is>
          <t>NEGATIVE_LIEN</t>
        </is>
      </c>
      <c r="F2" s="7" t="n">
        <v>45944.275</v>
      </c>
      <c r="G2" s="8" t="n">
        <v>1250.27</v>
      </c>
      <c r="H2" s="8" t="n">
        <v>0</v>
      </c>
      <c r="I2" s="8" t="n">
        <v>0</v>
      </c>
      <c r="J2" s="6" t="inlineStr"/>
      <c r="K2" s="6" t="inlineStr">
        <is>
          <t>Y</t>
        </is>
      </c>
      <c r="L2" s="6" t="inlineStr">
        <is>
          <t>SUCCESS</t>
        </is>
      </c>
      <c r="M2" s="6" t="inlineStr">
        <is>
          <t>Balance not available; negative lien marked</t>
        </is>
      </c>
    </row>
    <row r="3">
      <c r="A3" s="6" t="inlineStr">
        <is>
          <t>ACT-0001-02</t>
        </is>
      </c>
      <c r="B3" s="6" t="inlineStr">
        <is>
          <t>I4C-CASE-2025-0001</t>
        </is>
      </c>
      <c r="C3" s="6" t="inlineStr">
        <is>
          <t>31608230000001</t>
        </is>
      </c>
      <c r="D3" s="6" t="inlineStr">
        <is>
          <t>INC-0001-02</t>
        </is>
      </c>
      <c r="E3" s="6" t="inlineStr">
        <is>
          <t>NEGATIVE_LIEN</t>
        </is>
      </c>
      <c r="F3" s="7" t="n">
        <v>45944.275</v>
      </c>
      <c r="G3" s="8" t="n">
        <v>35</v>
      </c>
      <c r="H3" s="8" t="n">
        <v>0</v>
      </c>
      <c r="I3" s="8" t="n">
        <v>0</v>
      </c>
      <c r="J3" s="6" t="inlineStr"/>
      <c r="K3" s="6" t="inlineStr">
        <is>
          <t>Y</t>
        </is>
      </c>
      <c r="L3" s="6" t="inlineStr">
        <is>
          <t>SUCCESS</t>
        </is>
      </c>
      <c r="M3" s="6" t="inlineStr">
        <is>
          <t>Balance not available; negative lien marked</t>
        </is>
      </c>
    </row>
    <row r="4">
      <c r="A4" s="6" t="inlineStr">
        <is>
          <t>ACT-0002-01</t>
        </is>
      </c>
      <c r="B4" s="6" t="inlineStr">
        <is>
          <t>I4C-CASE-2025-0002</t>
        </is>
      </c>
      <c r="C4" s="6" t="inlineStr">
        <is>
          <t>31608230000002</t>
        </is>
      </c>
      <c r="D4" s="6" t="inlineStr">
        <is>
          <t>INC-0002-01</t>
        </is>
      </c>
      <c r="E4" s="6" t="inlineStr">
        <is>
          <t>HOLD</t>
        </is>
      </c>
      <c r="F4" s="7" t="n">
        <v>45950.07986111111</v>
      </c>
      <c r="G4" s="8" t="n">
        <v>250.66</v>
      </c>
      <c r="H4" s="8" t="n">
        <v>250.66</v>
      </c>
      <c r="I4" s="8" t="n">
        <v>250.66</v>
      </c>
      <c r="J4" s="6" t="inlineStr">
        <is>
          <t>LIEN6231665876</t>
        </is>
      </c>
      <c r="K4" s="6" t="inlineStr">
        <is>
          <t>N</t>
        </is>
      </c>
      <c r="L4" s="6" t="inlineStr">
        <is>
          <t>SUCCESS</t>
        </is>
      </c>
      <c r="M4" s="6" t="inlineStr">
        <is>
          <t>Hold placed successfully</t>
        </is>
      </c>
    </row>
    <row r="5">
      <c r="A5" s="6" t="inlineStr">
        <is>
          <t>ACT-0002-02</t>
        </is>
      </c>
      <c r="B5" s="6" t="inlineStr">
        <is>
          <t>I4C-CASE-2025-0002</t>
        </is>
      </c>
      <c r="C5" s="6" t="inlineStr">
        <is>
          <t>31608230000002</t>
        </is>
      </c>
      <c r="D5" s="6" t="inlineStr">
        <is>
          <t>INC-0002-02</t>
        </is>
      </c>
      <c r="E5" s="6" t="inlineStr">
        <is>
          <t>HOLD</t>
        </is>
      </c>
      <c r="F5" s="7" t="n">
        <v>45950.07986111111</v>
      </c>
      <c r="G5" s="8" t="n">
        <v>250.52</v>
      </c>
      <c r="H5" s="8" t="n">
        <v>250.52</v>
      </c>
      <c r="I5" s="8" t="n">
        <v>250.52</v>
      </c>
      <c r="J5" s="6" t="inlineStr">
        <is>
          <t>LIEN6690967054</t>
        </is>
      </c>
      <c r="K5" s="6" t="inlineStr">
        <is>
          <t>N</t>
        </is>
      </c>
      <c r="L5" s="6" t="inlineStr">
        <is>
          <t>SUCCESS</t>
        </is>
      </c>
      <c r="M5" s="6" t="inlineStr">
        <is>
          <t>Hold placed successfully</t>
        </is>
      </c>
    </row>
    <row r="6">
      <c r="A6" s="6" t="inlineStr">
        <is>
          <t>ACT-0002-03</t>
        </is>
      </c>
      <c r="B6" s="6" t="inlineStr">
        <is>
          <t>I4C-CASE-2025-0002</t>
        </is>
      </c>
      <c r="C6" s="6" t="inlineStr">
        <is>
          <t>31608230000002</t>
        </is>
      </c>
      <c r="D6" s="6" t="inlineStr">
        <is>
          <t>INC-0002-03</t>
        </is>
      </c>
      <c r="E6" s="6" t="inlineStr">
        <is>
          <t>HOLD</t>
        </is>
      </c>
      <c r="F6" s="7" t="n">
        <v>45950.07986111111</v>
      </c>
      <c r="G6" s="8" t="n">
        <v>99.8</v>
      </c>
      <c r="H6" s="8" t="n">
        <v>99.8</v>
      </c>
      <c r="I6" s="8" t="n">
        <v>99.8</v>
      </c>
      <c r="J6" s="6" t="inlineStr">
        <is>
          <t>LIEN6889373467</t>
        </is>
      </c>
      <c r="K6" s="6" t="inlineStr">
        <is>
          <t>N</t>
        </is>
      </c>
      <c r="L6" s="6" t="inlineStr">
        <is>
          <t>SUCCESS</t>
        </is>
      </c>
      <c r="M6" s="6" t="inlineStr">
        <is>
          <t>Hold placed successfully</t>
        </is>
      </c>
    </row>
    <row r="7">
      <c r="A7" s="6" t="inlineStr">
        <is>
          <t>ACT-0003-01</t>
        </is>
      </c>
      <c r="B7" s="6" t="inlineStr">
        <is>
          <t>I4C-CASE-2025-0003</t>
        </is>
      </c>
      <c r="C7" s="6" t="inlineStr">
        <is>
          <t>31608230000003</t>
        </is>
      </c>
      <c r="D7" s="6" t="inlineStr">
        <is>
          <t>INC-0003-01</t>
        </is>
      </c>
      <c r="E7" s="6" t="inlineStr">
        <is>
          <t>HOLD</t>
        </is>
      </c>
      <c r="F7" s="7" t="n">
        <v>45955.94652777778</v>
      </c>
      <c r="G7" s="8" t="n">
        <v>9999.92</v>
      </c>
      <c r="H7" s="8" t="n">
        <v>9999.92</v>
      </c>
      <c r="I7" s="8" t="n">
        <v>9999.92</v>
      </c>
      <c r="J7" s="6" t="inlineStr">
        <is>
          <t>LIEN8233749894</t>
        </is>
      </c>
      <c r="K7" s="6" t="inlineStr">
        <is>
          <t>N</t>
        </is>
      </c>
      <c r="L7" s="6" t="inlineStr">
        <is>
          <t>SUCCESS</t>
        </is>
      </c>
      <c r="M7" s="6" t="inlineStr">
        <is>
          <t>Hold placed successfully</t>
        </is>
      </c>
    </row>
    <row r="8">
      <c r="A8" s="6" t="inlineStr">
        <is>
          <t>ACT-0003-02</t>
        </is>
      </c>
      <c r="B8" s="6" t="inlineStr">
        <is>
          <t>I4C-CASE-2025-0003</t>
        </is>
      </c>
      <c r="C8" s="6" t="inlineStr">
        <is>
          <t>31608230000003</t>
        </is>
      </c>
      <c r="D8" s="6" t="inlineStr">
        <is>
          <t>INC-0003-02</t>
        </is>
      </c>
      <c r="E8" s="6" t="inlineStr">
        <is>
          <t>HOLD</t>
        </is>
      </c>
      <c r="F8" s="7" t="n">
        <v>45955.94652777778</v>
      </c>
      <c r="G8" s="8" t="n">
        <v>1250.76</v>
      </c>
      <c r="H8" s="8" t="n">
        <v>1250.76</v>
      </c>
      <c r="I8" s="8" t="n">
        <v>1250.76</v>
      </c>
      <c r="J8" s="6" t="inlineStr">
        <is>
          <t>LIEN3435240824</t>
        </is>
      </c>
      <c r="K8" s="6" t="inlineStr">
        <is>
          <t>N</t>
        </is>
      </c>
      <c r="L8" s="6" t="inlineStr">
        <is>
          <t>SUCCESS</t>
        </is>
      </c>
      <c r="M8" s="6" t="inlineStr">
        <is>
          <t>Hold placed successfully</t>
        </is>
      </c>
    </row>
    <row r="9">
      <c r="A9" s="6" t="inlineStr">
        <is>
          <t>ACT-0004-01</t>
        </is>
      </c>
      <c r="B9" s="6" t="inlineStr">
        <is>
          <t>I4C-CASE-2025-0004</t>
        </is>
      </c>
      <c r="C9" s="6" t="inlineStr">
        <is>
          <t>31608230000004</t>
        </is>
      </c>
      <c r="D9" s="6" t="inlineStr">
        <is>
          <t>INC-0004-01</t>
        </is>
      </c>
      <c r="E9" s="6" t="inlineStr">
        <is>
          <t>HOLD</t>
        </is>
      </c>
      <c r="F9" s="7" t="n">
        <v>45936.96111111111</v>
      </c>
      <c r="G9" s="8" t="n">
        <v>500.69</v>
      </c>
      <c r="H9" s="8" t="n">
        <v>324.33</v>
      </c>
      <c r="I9" s="8" t="n">
        <v>324.33</v>
      </c>
      <c r="J9" s="6" t="inlineStr">
        <is>
          <t>LIEN2146584044</t>
        </is>
      </c>
      <c r="K9" s="6" t="inlineStr">
        <is>
          <t>N</t>
        </is>
      </c>
      <c r="L9" s="6" t="inlineStr">
        <is>
          <t>SUCCESS</t>
        </is>
      </c>
      <c r="M9" s="6" t="inlineStr">
        <is>
          <t>Partial hold due to insufficient balance</t>
        </is>
      </c>
    </row>
    <row r="10">
      <c r="A10" s="6" t="inlineStr">
        <is>
          <t>ACT-0004-02</t>
        </is>
      </c>
      <c r="B10" s="6" t="inlineStr">
        <is>
          <t>I4C-CASE-2025-0004</t>
        </is>
      </c>
      <c r="C10" s="6" t="inlineStr">
        <is>
          <t>31608230000004</t>
        </is>
      </c>
      <c r="D10" s="6" t="inlineStr">
        <is>
          <t>INC-0004-02</t>
        </is>
      </c>
      <c r="E10" s="6" t="inlineStr">
        <is>
          <t>HOLD</t>
        </is>
      </c>
      <c r="F10" s="7" t="n">
        <v>45936.96111111111</v>
      </c>
      <c r="G10" s="8" t="n">
        <v>250.32</v>
      </c>
      <c r="H10" s="8" t="n">
        <v>175.85</v>
      </c>
      <c r="I10" s="8" t="n">
        <v>175.85</v>
      </c>
      <c r="J10" s="6" t="inlineStr">
        <is>
          <t>LIEN9727875588</t>
        </is>
      </c>
      <c r="K10" s="6" t="inlineStr">
        <is>
          <t>N</t>
        </is>
      </c>
      <c r="L10" s="6" t="inlineStr">
        <is>
          <t>SUCCESS</t>
        </is>
      </c>
      <c r="M10" s="6" t="inlineStr">
        <is>
          <t>Partial hold due to insufficient balance</t>
        </is>
      </c>
    </row>
    <row r="11">
      <c r="A11" s="6" t="inlineStr">
        <is>
          <t>ACT-0004-03</t>
        </is>
      </c>
      <c r="B11" s="6" t="inlineStr">
        <is>
          <t>I4C-CASE-2025-0004</t>
        </is>
      </c>
      <c r="C11" s="6" t="inlineStr">
        <is>
          <t>31608230000004</t>
        </is>
      </c>
      <c r="D11" s="6" t="inlineStr">
        <is>
          <t>INC-0004-03</t>
        </is>
      </c>
      <c r="E11" s="6" t="inlineStr">
        <is>
          <t>HOLD</t>
        </is>
      </c>
      <c r="F11" s="7" t="n">
        <v>45936.96111111111</v>
      </c>
      <c r="G11" s="8" t="n">
        <v>4999.48</v>
      </c>
      <c r="H11" s="8" t="n">
        <v>2131.41</v>
      </c>
      <c r="I11" s="8" t="n">
        <v>2131.41</v>
      </c>
      <c r="J11" s="6" t="inlineStr">
        <is>
          <t>LIEN5339636057</t>
        </is>
      </c>
      <c r="K11" s="6" t="inlineStr">
        <is>
          <t>N</t>
        </is>
      </c>
      <c r="L11" s="6" t="inlineStr">
        <is>
          <t>SUCCESS</t>
        </is>
      </c>
      <c r="M11" s="6" t="inlineStr">
        <is>
          <t>Partial hold due to insufficient balance</t>
        </is>
      </c>
    </row>
    <row r="12">
      <c r="A12" s="6" t="inlineStr">
        <is>
          <t>ACT-0005-01</t>
        </is>
      </c>
      <c r="B12" s="6" t="inlineStr">
        <is>
          <t>I4C-CASE-2025-0005</t>
        </is>
      </c>
      <c r="C12" s="6" t="inlineStr">
        <is>
          <t>31608230000005</t>
        </is>
      </c>
      <c r="D12" s="6" t="inlineStr">
        <is>
          <t>INC-0005-01</t>
        </is>
      </c>
      <c r="E12" s="6" t="inlineStr">
        <is>
          <t>HOLD</t>
        </is>
      </c>
      <c r="F12" s="7" t="n">
        <v>45957.17291666667</v>
      </c>
      <c r="G12" s="8" t="n">
        <v>500.64</v>
      </c>
      <c r="H12" s="8" t="n">
        <v>0</v>
      </c>
      <c r="I12" s="8" t="n">
        <v>0</v>
      </c>
      <c r="J12" s="6" t="inlineStr"/>
      <c r="K12" s="6" t="inlineStr">
        <is>
          <t>N</t>
        </is>
      </c>
      <c r="L12" s="6" t="inlineStr">
        <is>
          <t>FAIL</t>
        </is>
      </c>
      <c r="M12" s="6" t="inlineStr">
        <is>
          <t>Account not found</t>
        </is>
      </c>
    </row>
    <row r="13">
      <c r="A13" s="6" t="inlineStr">
        <is>
          <t>ACT-0005-02</t>
        </is>
      </c>
      <c r="B13" s="6" t="inlineStr">
        <is>
          <t>I4C-CASE-2025-0005</t>
        </is>
      </c>
      <c r="C13" s="6" t="inlineStr">
        <is>
          <t>31608230000005</t>
        </is>
      </c>
      <c r="D13" s="6" t="inlineStr">
        <is>
          <t>INC-0005-02</t>
        </is>
      </c>
      <c r="E13" s="6" t="inlineStr">
        <is>
          <t>HOLD</t>
        </is>
      </c>
      <c r="F13" s="7" t="n">
        <v>45957.17291666667</v>
      </c>
      <c r="G13" s="8" t="n">
        <v>9999.799999999999</v>
      </c>
      <c r="H13" s="8" t="n">
        <v>0</v>
      </c>
      <c r="I13" s="8" t="n">
        <v>0</v>
      </c>
      <c r="J13" s="6" t="inlineStr"/>
      <c r="K13" s="6" t="inlineStr">
        <is>
          <t>N</t>
        </is>
      </c>
      <c r="L13" s="6" t="inlineStr">
        <is>
          <t>FAIL</t>
        </is>
      </c>
      <c r="M13" s="6" t="inlineStr">
        <is>
          <t>Account not found</t>
        </is>
      </c>
    </row>
    <row r="14">
      <c r="A14" s="6" t="inlineStr">
        <is>
          <t>ACT-0006-01</t>
        </is>
      </c>
      <c r="B14" s="6" t="inlineStr">
        <is>
          <t>I4C-CASE-2025-0006</t>
        </is>
      </c>
      <c r="C14" s="6" t="inlineStr">
        <is>
          <t>31608230000006</t>
        </is>
      </c>
      <c r="D14" s="6" t="inlineStr">
        <is>
          <t>INC-0006-01</t>
        </is>
      </c>
      <c r="E14" s="6" t="inlineStr">
        <is>
          <t>HOLD</t>
        </is>
      </c>
      <c r="F14" s="7" t="n">
        <v>45947.57638888889</v>
      </c>
      <c r="G14" s="8" t="n">
        <v>250.86</v>
      </c>
      <c r="H14" s="8" t="n">
        <v>250.86</v>
      </c>
      <c r="I14" s="8" t="n">
        <v>250.86</v>
      </c>
      <c r="J14" s="6" t="inlineStr">
        <is>
          <t>LIEN0847007661</t>
        </is>
      </c>
      <c r="K14" s="6" t="inlineStr">
        <is>
          <t>N</t>
        </is>
      </c>
      <c r="L14" s="6" t="inlineStr">
        <is>
          <t>SUCCESS</t>
        </is>
      </c>
      <c r="M14" s="6" t="inlineStr">
        <is>
          <t>Hold placed successfully</t>
        </is>
      </c>
    </row>
    <row r="15">
      <c r="A15" s="6" t="inlineStr">
        <is>
          <t>ACT-0007-01</t>
        </is>
      </c>
      <c r="B15" s="6" t="inlineStr">
        <is>
          <t>I4C-CASE-2025-0007</t>
        </is>
      </c>
      <c r="C15" s="6" t="inlineStr">
        <is>
          <t>31608230000007</t>
        </is>
      </c>
      <c r="D15" s="6" t="inlineStr">
        <is>
          <t>INC-0007-01</t>
        </is>
      </c>
      <c r="E15" s="6" t="inlineStr">
        <is>
          <t>HOLD</t>
        </is>
      </c>
      <c r="F15" s="7" t="n">
        <v>45951.57708333333</v>
      </c>
      <c r="G15" s="8" t="n">
        <v>4999.74</v>
      </c>
      <c r="H15" s="8" t="n">
        <v>4999.74</v>
      </c>
      <c r="I15" s="8" t="n">
        <v>4999.74</v>
      </c>
      <c r="J15" s="6" t="inlineStr">
        <is>
          <t>LIEN8998094024</t>
        </is>
      </c>
      <c r="K15" s="6" t="inlineStr">
        <is>
          <t>N</t>
        </is>
      </c>
      <c r="L15" s="6" t="inlineStr">
        <is>
          <t>SUCCESS</t>
        </is>
      </c>
      <c r="M15" s="6" t="inlineStr">
        <is>
          <t>Hold placed successfully</t>
        </is>
      </c>
    </row>
    <row r="16">
      <c r="A16" s="6" t="inlineStr">
        <is>
          <t>ACT-0008-01</t>
        </is>
      </c>
      <c r="B16" s="6" t="inlineStr">
        <is>
          <t>I4C-CASE-2025-0008</t>
        </is>
      </c>
      <c r="C16" s="6" t="inlineStr">
        <is>
          <t>31608230000008</t>
        </is>
      </c>
      <c r="D16" s="6" t="inlineStr">
        <is>
          <t>INC-0008-01</t>
        </is>
      </c>
      <c r="E16" s="6" t="inlineStr">
        <is>
          <t>HOLD</t>
        </is>
      </c>
      <c r="F16" s="7" t="n">
        <v>45951.97361111111</v>
      </c>
      <c r="G16" s="8" t="n">
        <v>1250.67</v>
      </c>
      <c r="H16" s="8" t="n">
        <v>1250.67</v>
      </c>
      <c r="I16" s="8" t="n">
        <v>1250.67</v>
      </c>
      <c r="J16" s="6" t="inlineStr">
        <is>
          <t>LIEN5523124329</t>
        </is>
      </c>
      <c r="K16" s="6" t="inlineStr">
        <is>
          <t>N</t>
        </is>
      </c>
      <c r="L16" s="6" t="inlineStr">
        <is>
          <t>SUCCESS</t>
        </is>
      </c>
      <c r="M16" s="6" t="inlineStr">
        <is>
          <t>Hold placed successfully</t>
        </is>
      </c>
    </row>
    <row r="17">
      <c r="A17" s="6" t="inlineStr">
        <is>
          <t>ACT-0008-02</t>
        </is>
      </c>
      <c r="B17" s="6" t="inlineStr">
        <is>
          <t>I4C-CASE-2025-0008</t>
        </is>
      </c>
      <c r="C17" s="6" t="inlineStr">
        <is>
          <t>31608230000008</t>
        </is>
      </c>
      <c r="D17" s="6" t="inlineStr">
        <is>
          <t>INC-0008-02</t>
        </is>
      </c>
      <c r="E17" s="6" t="inlineStr">
        <is>
          <t>HOLD</t>
        </is>
      </c>
      <c r="F17" s="7" t="n">
        <v>45951.97361111111</v>
      </c>
      <c r="G17" s="8" t="n">
        <v>500.71</v>
      </c>
      <c r="H17" s="8" t="n">
        <v>500.71</v>
      </c>
      <c r="I17" s="8" t="n">
        <v>500.71</v>
      </c>
      <c r="J17" s="6" t="inlineStr">
        <is>
          <t>LIEN1277997995</t>
        </is>
      </c>
      <c r="K17" s="6" t="inlineStr">
        <is>
          <t>N</t>
        </is>
      </c>
      <c r="L17" s="6" t="inlineStr">
        <is>
          <t>SUCCESS</t>
        </is>
      </c>
      <c r="M17" s="6" t="inlineStr">
        <is>
          <t>Hold placed successfully</t>
        </is>
      </c>
    </row>
    <row r="18">
      <c r="A18" s="6" t="inlineStr">
        <is>
          <t>ACT-0009-01</t>
        </is>
      </c>
      <c r="B18" s="6" t="inlineStr">
        <is>
          <t>I4C-CASE-2025-0009</t>
        </is>
      </c>
      <c r="C18" s="6" t="inlineStr">
        <is>
          <t>31608230000009</t>
        </is>
      </c>
      <c r="D18" s="6" t="inlineStr">
        <is>
          <t>INC-0009-01</t>
        </is>
      </c>
      <c r="E18" s="6" t="inlineStr">
        <is>
          <t>HOLD</t>
        </is>
      </c>
      <c r="F18" s="7" t="n">
        <v>45960.40972222222</v>
      </c>
      <c r="G18" s="8" t="n">
        <v>4999.14</v>
      </c>
      <c r="H18" s="8" t="n">
        <v>4999.14</v>
      </c>
      <c r="I18" s="8" t="n">
        <v>4999.14</v>
      </c>
      <c r="J18" s="6" t="inlineStr">
        <is>
          <t>LIEN1888059296</t>
        </is>
      </c>
      <c r="K18" s="6" t="inlineStr">
        <is>
          <t>N</t>
        </is>
      </c>
      <c r="L18" s="6" t="inlineStr">
        <is>
          <t>SUCCESS</t>
        </is>
      </c>
      <c r="M18" s="6" t="inlineStr">
        <is>
          <t>Hold placed successfully</t>
        </is>
      </c>
    </row>
    <row r="19">
      <c r="A19" s="6" t="inlineStr">
        <is>
          <t>ACT-0010-01</t>
        </is>
      </c>
      <c r="B19" s="6" t="inlineStr">
        <is>
          <t>I4C-CASE-2025-0010</t>
        </is>
      </c>
      <c r="C19" s="6" t="inlineStr">
        <is>
          <t>31608230000010</t>
        </is>
      </c>
      <c r="D19" s="6" t="inlineStr">
        <is>
          <t>INC-0010-01</t>
        </is>
      </c>
      <c r="E19" s="6" t="inlineStr">
        <is>
          <t>NEGATIVE_LIEN</t>
        </is>
      </c>
      <c r="F19" s="7" t="n">
        <v>45948.35833333333</v>
      </c>
      <c r="G19" s="8" t="n">
        <v>9999.709999999999</v>
      </c>
      <c r="H19" s="8" t="n">
        <v>0</v>
      </c>
      <c r="I19" s="8" t="n">
        <v>0</v>
      </c>
      <c r="J19" s="6" t="inlineStr"/>
      <c r="K19" s="6" t="inlineStr">
        <is>
          <t>Y</t>
        </is>
      </c>
      <c r="L19" s="6" t="inlineStr">
        <is>
          <t>SUCCESS</t>
        </is>
      </c>
      <c r="M19" s="6" t="inlineStr">
        <is>
          <t>Balance not available; negative lien marked</t>
        </is>
      </c>
    </row>
    <row r="20">
      <c r="A20" s="6" t="inlineStr">
        <is>
          <t>ACT-0011-01</t>
        </is>
      </c>
      <c r="B20" s="6" t="inlineStr">
        <is>
          <t>I4C-CASE-2025-0011</t>
        </is>
      </c>
      <c r="C20" s="6" t="inlineStr">
        <is>
          <t>31608230000011</t>
        </is>
      </c>
      <c r="D20" s="6" t="inlineStr">
        <is>
          <t>INC-0011-01</t>
        </is>
      </c>
      <c r="E20" s="6" t="inlineStr">
        <is>
          <t>HOLD</t>
        </is>
      </c>
      <c r="F20" s="7" t="n">
        <v>45933.5125</v>
      </c>
      <c r="G20" s="8" t="n">
        <v>9999.66</v>
      </c>
      <c r="H20" s="8" t="n">
        <v>9999.66</v>
      </c>
      <c r="I20" s="8" t="n">
        <v>9999.66</v>
      </c>
      <c r="J20" s="6" t="inlineStr">
        <is>
          <t>LIEN6275705964</t>
        </is>
      </c>
      <c r="K20" s="6" t="inlineStr">
        <is>
          <t>N</t>
        </is>
      </c>
      <c r="L20" s="6" t="inlineStr">
        <is>
          <t>SUCCESS</t>
        </is>
      </c>
      <c r="M20" s="6" t="inlineStr">
        <is>
          <t>Hold placed successfully</t>
        </is>
      </c>
    </row>
    <row r="21">
      <c r="A21" s="6" t="inlineStr">
        <is>
          <t>ACT-0012-01</t>
        </is>
      </c>
      <c r="B21" s="6" t="inlineStr">
        <is>
          <t>I4C-CASE-2025-0012</t>
        </is>
      </c>
      <c r="C21" s="6" t="inlineStr">
        <is>
          <t>31608230000012</t>
        </is>
      </c>
      <c r="D21" s="6" t="inlineStr">
        <is>
          <t>INC-0012-01</t>
        </is>
      </c>
      <c r="E21" s="6" t="inlineStr">
        <is>
          <t>HOLD</t>
        </is>
      </c>
      <c r="F21" s="7" t="n">
        <v>45946.89375</v>
      </c>
      <c r="G21" s="8" t="n">
        <v>99.79000000000001</v>
      </c>
      <c r="H21" s="8" t="n">
        <v>76.75</v>
      </c>
      <c r="I21" s="8" t="n">
        <v>76.75</v>
      </c>
      <c r="J21" s="6" t="inlineStr">
        <is>
          <t>LIEN9439690784</t>
        </is>
      </c>
      <c r="K21" s="6" t="inlineStr">
        <is>
          <t>N</t>
        </is>
      </c>
      <c r="L21" s="6" t="inlineStr">
        <is>
          <t>SUCCESS</t>
        </is>
      </c>
      <c r="M21" s="6" t="inlineStr">
        <is>
          <t>Partial hold due to insufficient balance</t>
        </is>
      </c>
    </row>
    <row r="22">
      <c r="A22" s="6" t="inlineStr">
        <is>
          <t>ACT-0012-02</t>
        </is>
      </c>
      <c r="B22" s="6" t="inlineStr">
        <is>
          <t>I4C-CASE-2025-0012</t>
        </is>
      </c>
      <c r="C22" s="6" t="inlineStr">
        <is>
          <t>31608230000012</t>
        </is>
      </c>
      <c r="D22" s="6" t="inlineStr">
        <is>
          <t>INC-0012-02</t>
        </is>
      </c>
      <c r="E22" s="6" t="inlineStr">
        <is>
          <t>HOLD</t>
        </is>
      </c>
      <c r="F22" s="7" t="n">
        <v>45946.89375</v>
      </c>
      <c r="G22" s="8" t="n">
        <v>99.16</v>
      </c>
      <c r="H22" s="8" t="n">
        <v>58.02</v>
      </c>
      <c r="I22" s="8" t="n">
        <v>58.02</v>
      </c>
      <c r="J22" s="6" t="inlineStr">
        <is>
          <t>LIEN4736471027</t>
        </is>
      </c>
      <c r="K22" s="6" t="inlineStr">
        <is>
          <t>N</t>
        </is>
      </c>
      <c r="L22" s="6" t="inlineStr">
        <is>
          <t>SUCCESS</t>
        </is>
      </c>
      <c r="M22" s="6" t="inlineStr">
        <is>
          <t>Partial hold due to insufficient balance</t>
        </is>
      </c>
    </row>
    <row r="23">
      <c r="A23" s="6" t="inlineStr">
        <is>
          <t>ACT-0013-01</t>
        </is>
      </c>
      <c r="B23" s="6" t="inlineStr">
        <is>
          <t>I4C-CASE-2025-0013</t>
        </is>
      </c>
      <c r="C23" s="6" t="inlineStr">
        <is>
          <t>31608230000013</t>
        </is>
      </c>
      <c r="D23" s="6" t="inlineStr">
        <is>
          <t>INC-0013-01</t>
        </is>
      </c>
      <c r="E23" s="6" t="inlineStr">
        <is>
          <t>HOLD</t>
        </is>
      </c>
      <c r="F23" s="7" t="n">
        <v>45955.41527777778</v>
      </c>
      <c r="G23" s="8" t="n">
        <v>35.57</v>
      </c>
      <c r="H23" s="8" t="n">
        <v>0</v>
      </c>
      <c r="I23" s="8" t="n">
        <v>0</v>
      </c>
      <c r="J23" s="6" t="inlineStr"/>
      <c r="K23" s="6" t="inlineStr">
        <is>
          <t>N</t>
        </is>
      </c>
      <c r="L23" s="6" t="inlineStr">
        <is>
          <t>PENDING_RETRY</t>
        </is>
      </c>
      <c r="M23" s="6" t="inlineStr">
        <is>
          <t>CBS timeout; will retry</t>
        </is>
      </c>
    </row>
    <row r="24">
      <c r="A24" s="6" t="inlineStr">
        <is>
          <t>ACT-0013-02</t>
        </is>
      </c>
      <c r="B24" s="6" t="inlineStr">
        <is>
          <t>I4C-CASE-2025-0013</t>
        </is>
      </c>
      <c r="C24" s="6" t="inlineStr">
        <is>
          <t>31608230000013</t>
        </is>
      </c>
      <c r="D24" s="6" t="inlineStr">
        <is>
          <t>INC-0013-02</t>
        </is>
      </c>
      <c r="E24" s="6" t="inlineStr">
        <is>
          <t>HOLD</t>
        </is>
      </c>
      <c r="F24" s="7" t="n">
        <v>45955.41527777778</v>
      </c>
      <c r="G24" s="8" t="n">
        <v>99.33</v>
      </c>
      <c r="H24" s="8" t="n">
        <v>0</v>
      </c>
      <c r="I24" s="8" t="n">
        <v>0</v>
      </c>
      <c r="J24" s="6" t="inlineStr"/>
      <c r="K24" s="6" t="inlineStr">
        <is>
          <t>N</t>
        </is>
      </c>
      <c r="L24" s="6" t="inlineStr">
        <is>
          <t>PENDING_RETRY</t>
        </is>
      </c>
      <c r="M24" s="6" t="inlineStr">
        <is>
          <t>CBS timeout; will retry</t>
        </is>
      </c>
    </row>
    <row r="25">
      <c r="A25" s="6" t="inlineStr">
        <is>
          <t>ACT-0013-03</t>
        </is>
      </c>
      <c r="B25" s="6" t="inlineStr">
        <is>
          <t>I4C-CASE-2025-0013</t>
        </is>
      </c>
      <c r="C25" s="6" t="inlineStr">
        <is>
          <t>31608230000013</t>
        </is>
      </c>
      <c r="D25" s="6" t="inlineStr">
        <is>
          <t>INC-0013-03</t>
        </is>
      </c>
      <c r="E25" s="6" t="inlineStr">
        <is>
          <t>HOLD</t>
        </is>
      </c>
      <c r="F25" s="7" t="n">
        <v>45955.41527777778</v>
      </c>
      <c r="G25" s="8" t="n">
        <v>99.81999999999999</v>
      </c>
      <c r="H25" s="8" t="n">
        <v>0</v>
      </c>
      <c r="I25" s="8" t="n">
        <v>0</v>
      </c>
      <c r="J25" s="6" t="inlineStr"/>
      <c r="K25" s="6" t="inlineStr">
        <is>
          <t>N</t>
        </is>
      </c>
      <c r="L25" s="6" t="inlineStr">
        <is>
          <t>PENDING_RETRY</t>
        </is>
      </c>
      <c r="M25" s="6" t="inlineStr">
        <is>
          <t>CBS timeout; will retry</t>
        </is>
      </c>
    </row>
    <row r="26">
      <c r="A26" s="6" t="inlineStr">
        <is>
          <t>ACT-0014-01</t>
        </is>
      </c>
      <c r="B26" s="6" t="inlineStr">
        <is>
          <t>I4C-CASE-2025-0014</t>
        </is>
      </c>
      <c r="C26" s="6" t="inlineStr">
        <is>
          <t>31608230000014</t>
        </is>
      </c>
      <c r="D26" s="6" t="inlineStr">
        <is>
          <t>INC-0014-01</t>
        </is>
      </c>
      <c r="E26" s="6" t="inlineStr">
        <is>
          <t>HOLD</t>
        </is>
      </c>
      <c r="F26" s="7" t="n">
        <v>45947.4125</v>
      </c>
      <c r="G26" s="8" t="n">
        <v>9999.09</v>
      </c>
      <c r="H26" s="8" t="n">
        <v>0</v>
      </c>
      <c r="I26" s="8" t="n">
        <v>0</v>
      </c>
      <c r="J26" s="6" t="inlineStr"/>
      <c r="K26" s="6" t="inlineStr">
        <is>
          <t>N</t>
        </is>
      </c>
      <c r="L26" s="6" t="inlineStr">
        <is>
          <t>FAIL</t>
        </is>
      </c>
      <c r="M26" s="6" t="inlineStr">
        <is>
          <t>Account not found</t>
        </is>
      </c>
    </row>
    <row r="27">
      <c r="A27" s="6" t="inlineStr">
        <is>
          <t>ACT-0014-02</t>
        </is>
      </c>
      <c r="B27" s="6" t="inlineStr">
        <is>
          <t>I4C-CASE-2025-0014</t>
        </is>
      </c>
      <c r="C27" s="6" t="inlineStr">
        <is>
          <t>31608230000014</t>
        </is>
      </c>
      <c r="D27" s="6" t="inlineStr">
        <is>
          <t>INC-0014-02</t>
        </is>
      </c>
      <c r="E27" s="6" t="inlineStr">
        <is>
          <t>HOLD</t>
        </is>
      </c>
      <c r="F27" s="7" t="n">
        <v>45947.4125</v>
      </c>
      <c r="G27" s="8" t="n">
        <v>9999.299999999999</v>
      </c>
      <c r="H27" s="8" t="n">
        <v>0</v>
      </c>
      <c r="I27" s="8" t="n">
        <v>0</v>
      </c>
      <c r="J27" s="6" t="inlineStr"/>
      <c r="K27" s="6" t="inlineStr">
        <is>
          <t>N</t>
        </is>
      </c>
      <c r="L27" s="6" t="inlineStr">
        <is>
          <t>FAIL</t>
        </is>
      </c>
      <c r="M27" s="6" t="inlineStr">
        <is>
          <t>Account not found</t>
        </is>
      </c>
    </row>
    <row r="28">
      <c r="A28" s="6" t="inlineStr">
        <is>
          <t>ACT-0015-01</t>
        </is>
      </c>
      <c r="B28" s="6" t="inlineStr">
        <is>
          <t>I4C-CASE-2025-0015</t>
        </is>
      </c>
      <c r="C28" s="6" t="inlineStr">
        <is>
          <t>31608230000015</t>
        </is>
      </c>
      <c r="D28" s="6" t="inlineStr">
        <is>
          <t>INC-0015-01</t>
        </is>
      </c>
      <c r="E28" s="6" t="inlineStr">
        <is>
          <t>NEGATIVE_LIEN</t>
        </is>
      </c>
      <c r="F28" s="7" t="n">
        <v>45936.82847222222</v>
      </c>
      <c r="G28" s="8" t="n">
        <v>500.09</v>
      </c>
      <c r="H28" s="8" t="n">
        <v>0</v>
      </c>
      <c r="I28" s="8" t="n">
        <v>0</v>
      </c>
      <c r="J28" s="6" t="inlineStr"/>
      <c r="K28" s="6" t="inlineStr">
        <is>
          <t>Y</t>
        </is>
      </c>
      <c r="L28" s="6" t="inlineStr">
        <is>
          <t>SUCCESS</t>
        </is>
      </c>
      <c r="M28" s="6" t="inlineStr">
        <is>
          <t>Balance not available; negative lien marked</t>
        </is>
      </c>
    </row>
    <row r="29">
      <c r="A29" s="6" t="inlineStr">
        <is>
          <t>ACT-0016-01</t>
        </is>
      </c>
      <c r="B29" s="6" t="inlineStr">
        <is>
          <t>I4C-CASE-2025-0016</t>
        </is>
      </c>
      <c r="C29" s="6" t="inlineStr">
        <is>
          <t>31608230000016</t>
        </is>
      </c>
      <c r="D29" s="6" t="inlineStr">
        <is>
          <t>INC-0016-01</t>
        </is>
      </c>
      <c r="E29" s="6" t="inlineStr">
        <is>
          <t>HOLD</t>
        </is>
      </c>
      <c r="F29" s="7" t="n">
        <v>45952.69583333333</v>
      </c>
      <c r="G29" s="8" t="n">
        <v>250.88</v>
      </c>
      <c r="H29" s="8" t="n">
        <v>179.26</v>
      </c>
      <c r="I29" s="8" t="n">
        <v>179.26</v>
      </c>
      <c r="J29" s="6" t="inlineStr">
        <is>
          <t>LIEN2708668826</t>
        </is>
      </c>
      <c r="K29" s="6" t="inlineStr">
        <is>
          <t>N</t>
        </is>
      </c>
      <c r="L29" s="6" t="inlineStr">
        <is>
          <t>SUCCESS</t>
        </is>
      </c>
      <c r="M29" s="6" t="inlineStr">
        <is>
          <t>Partial hold due to insufficient balance</t>
        </is>
      </c>
    </row>
    <row r="30">
      <c r="A30" s="6" t="inlineStr">
        <is>
          <t>ACT-0017-01</t>
        </is>
      </c>
      <c r="B30" s="6" t="inlineStr">
        <is>
          <t>I4C-CASE-2025-0017</t>
        </is>
      </c>
      <c r="C30" s="6" t="inlineStr">
        <is>
          <t>31608230000017</t>
        </is>
      </c>
      <c r="D30" s="6" t="inlineStr">
        <is>
          <t>INC-0017-01</t>
        </is>
      </c>
      <c r="E30" s="6" t="inlineStr">
        <is>
          <t>HOLD</t>
        </is>
      </c>
      <c r="F30" s="7" t="n">
        <v>45949.38263888889</v>
      </c>
      <c r="G30" s="8" t="n">
        <v>99.33</v>
      </c>
      <c r="H30" s="8" t="n">
        <v>99.33</v>
      </c>
      <c r="I30" s="8" t="n">
        <v>99.33</v>
      </c>
      <c r="J30" s="6" t="inlineStr">
        <is>
          <t>LIEN6793341016</t>
        </is>
      </c>
      <c r="K30" s="6" t="inlineStr">
        <is>
          <t>N</t>
        </is>
      </c>
      <c r="L30" s="6" t="inlineStr">
        <is>
          <t>SUCCESS</t>
        </is>
      </c>
      <c r="M30" s="6" t="inlineStr">
        <is>
          <t>Hold placed successfully</t>
        </is>
      </c>
    </row>
    <row r="31">
      <c r="A31" s="6" t="inlineStr">
        <is>
          <t>ACT-0017-02</t>
        </is>
      </c>
      <c r="B31" s="6" t="inlineStr">
        <is>
          <t>I4C-CASE-2025-0017</t>
        </is>
      </c>
      <c r="C31" s="6" t="inlineStr">
        <is>
          <t>31608230000017</t>
        </is>
      </c>
      <c r="D31" s="6" t="inlineStr">
        <is>
          <t>INC-0017-02</t>
        </is>
      </c>
      <c r="E31" s="6" t="inlineStr">
        <is>
          <t>HOLD</t>
        </is>
      </c>
      <c r="F31" s="7" t="n">
        <v>45949.38263888889</v>
      </c>
      <c r="G31" s="8" t="n">
        <v>4999.67</v>
      </c>
      <c r="H31" s="8" t="n">
        <v>4999.67</v>
      </c>
      <c r="I31" s="8" t="n">
        <v>4999.67</v>
      </c>
      <c r="J31" s="6" t="inlineStr">
        <is>
          <t>LIEN8700217659</t>
        </is>
      </c>
      <c r="K31" s="6" t="inlineStr">
        <is>
          <t>N</t>
        </is>
      </c>
      <c r="L31" s="6" t="inlineStr">
        <is>
          <t>SUCCESS</t>
        </is>
      </c>
      <c r="M31" s="6" t="inlineStr">
        <is>
          <t>Hold placed successfully</t>
        </is>
      </c>
    </row>
    <row r="32">
      <c r="A32" s="6" t="inlineStr">
        <is>
          <t>ACT-0018-01</t>
        </is>
      </c>
      <c r="B32" s="6" t="inlineStr">
        <is>
          <t>I4C-CASE-2025-0018</t>
        </is>
      </c>
      <c r="C32" s="6" t="inlineStr">
        <is>
          <t>31608230000018</t>
        </is>
      </c>
      <c r="D32" s="6" t="inlineStr">
        <is>
          <t>INC-0018-01</t>
        </is>
      </c>
      <c r="E32" s="6" t="inlineStr">
        <is>
          <t>HOLD</t>
        </is>
      </c>
      <c r="F32" s="7" t="n">
        <v>45948.86041666667</v>
      </c>
      <c r="G32" s="8" t="n">
        <v>250.55</v>
      </c>
      <c r="H32" s="8" t="n">
        <v>250.55</v>
      </c>
      <c r="I32" s="8" t="n">
        <v>250.55</v>
      </c>
      <c r="J32" s="6" t="inlineStr">
        <is>
          <t>LIEN6519398280</t>
        </is>
      </c>
      <c r="K32" s="6" t="inlineStr">
        <is>
          <t>N</t>
        </is>
      </c>
      <c r="L32" s="6" t="inlineStr">
        <is>
          <t>SUCCESS</t>
        </is>
      </c>
      <c r="M32" s="6" t="inlineStr">
        <is>
          <t>Hold placed successfully</t>
        </is>
      </c>
    </row>
    <row r="33">
      <c r="A33" s="6" t="inlineStr">
        <is>
          <t>ACT-0018-02</t>
        </is>
      </c>
      <c r="B33" s="6" t="inlineStr">
        <is>
          <t>I4C-CASE-2025-0018</t>
        </is>
      </c>
      <c r="C33" s="6" t="inlineStr">
        <is>
          <t>31608230000018</t>
        </is>
      </c>
      <c r="D33" s="6" t="inlineStr">
        <is>
          <t>INC-0018-02</t>
        </is>
      </c>
      <c r="E33" s="6" t="inlineStr">
        <is>
          <t>HOLD</t>
        </is>
      </c>
      <c r="F33" s="7" t="n">
        <v>45948.86041666667</v>
      </c>
      <c r="G33" s="8" t="n">
        <v>99.45999999999999</v>
      </c>
      <c r="H33" s="8" t="n">
        <v>99.45999999999999</v>
      </c>
      <c r="I33" s="8" t="n">
        <v>99.45999999999999</v>
      </c>
      <c r="J33" s="6" t="inlineStr">
        <is>
          <t>LIEN7374167243</t>
        </is>
      </c>
      <c r="K33" s="6" t="inlineStr">
        <is>
          <t>N</t>
        </is>
      </c>
      <c r="L33" s="6" t="inlineStr">
        <is>
          <t>SUCCESS</t>
        </is>
      </c>
      <c r="M33" s="6" t="inlineStr">
        <is>
          <t>Hold placed successfully</t>
        </is>
      </c>
    </row>
    <row r="34">
      <c r="A34" s="6" t="inlineStr">
        <is>
          <t>ACT-0019-01</t>
        </is>
      </c>
      <c r="B34" s="6" t="inlineStr">
        <is>
          <t>I4C-CASE-2025-0019</t>
        </is>
      </c>
      <c r="C34" s="6" t="inlineStr">
        <is>
          <t>31608230000019</t>
        </is>
      </c>
      <c r="D34" s="6" t="inlineStr">
        <is>
          <t>INC-0019-01</t>
        </is>
      </c>
      <c r="E34" s="6" t="inlineStr">
        <is>
          <t>NEGATIVE_LIEN</t>
        </is>
      </c>
      <c r="F34" s="7" t="n">
        <v>45938.25763888889</v>
      </c>
      <c r="G34" s="8" t="n">
        <v>250.04</v>
      </c>
      <c r="H34" s="8" t="n">
        <v>0</v>
      </c>
      <c r="I34" s="8" t="n">
        <v>0</v>
      </c>
      <c r="J34" s="6" t="inlineStr"/>
      <c r="K34" s="6" t="inlineStr">
        <is>
          <t>Y</t>
        </is>
      </c>
      <c r="L34" s="6" t="inlineStr">
        <is>
          <t>SUCCESS</t>
        </is>
      </c>
      <c r="M34" s="6" t="inlineStr">
        <is>
          <t>Balance not available; negative lien marked</t>
        </is>
      </c>
    </row>
    <row r="35">
      <c r="A35" s="6" t="inlineStr">
        <is>
          <t>ACT-0019-02</t>
        </is>
      </c>
      <c r="B35" s="6" t="inlineStr">
        <is>
          <t>I4C-CASE-2025-0019</t>
        </is>
      </c>
      <c r="C35" s="6" t="inlineStr">
        <is>
          <t>31608230000019</t>
        </is>
      </c>
      <c r="D35" s="6" t="inlineStr">
        <is>
          <t>INC-0019-02</t>
        </is>
      </c>
      <c r="E35" s="6" t="inlineStr">
        <is>
          <t>NEGATIVE_LIEN</t>
        </is>
      </c>
      <c r="F35" s="7" t="n">
        <v>45938.25763888889</v>
      </c>
      <c r="G35" s="8" t="n">
        <v>99.37</v>
      </c>
      <c r="H35" s="8" t="n">
        <v>0</v>
      </c>
      <c r="I35" s="8" t="n">
        <v>0</v>
      </c>
      <c r="J35" s="6" t="inlineStr"/>
      <c r="K35" s="6" t="inlineStr">
        <is>
          <t>Y</t>
        </is>
      </c>
      <c r="L35" s="6" t="inlineStr">
        <is>
          <t>SUCCESS</t>
        </is>
      </c>
      <c r="M35" s="6" t="inlineStr">
        <is>
          <t>Balance not available; negative lien marked</t>
        </is>
      </c>
    </row>
    <row r="36">
      <c r="A36" s="6" t="inlineStr">
        <is>
          <t>ACT-0020-01</t>
        </is>
      </c>
      <c r="B36" s="6" t="inlineStr">
        <is>
          <t>I4C-CASE-2025-0020</t>
        </is>
      </c>
      <c r="C36" s="6" t="inlineStr">
        <is>
          <t>31608230000020</t>
        </is>
      </c>
      <c r="D36" s="6" t="inlineStr">
        <is>
          <t>INC-0020-01</t>
        </is>
      </c>
      <c r="E36" s="6" t="inlineStr">
        <is>
          <t>HOLD</t>
        </is>
      </c>
      <c r="F36" s="7" t="n">
        <v>45936.92847222222</v>
      </c>
      <c r="G36" s="8" t="n">
        <v>250.35</v>
      </c>
      <c r="H36" s="8" t="n">
        <v>250.35</v>
      </c>
      <c r="I36" s="8" t="n">
        <v>250.35</v>
      </c>
      <c r="J36" s="6" t="inlineStr">
        <is>
          <t>LIEN5458929750</t>
        </is>
      </c>
      <c r="K36" s="6" t="inlineStr">
        <is>
          <t>N</t>
        </is>
      </c>
      <c r="L36" s="6" t="inlineStr">
        <is>
          <t>SUCCESS</t>
        </is>
      </c>
      <c r="M36" s="6" t="inlineStr">
        <is>
          <t>Hold placed successfully</t>
        </is>
      </c>
    </row>
    <row r="37">
      <c r="A37" s="6" t="inlineStr">
        <is>
          <t>ACT-0020-02</t>
        </is>
      </c>
      <c r="B37" s="6" t="inlineStr">
        <is>
          <t>I4C-CASE-2025-0020</t>
        </is>
      </c>
      <c r="C37" s="6" t="inlineStr">
        <is>
          <t>31608230000020</t>
        </is>
      </c>
      <c r="D37" s="6" t="inlineStr">
        <is>
          <t>INC-0020-02</t>
        </is>
      </c>
      <c r="E37" s="6" t="inlineStr">
        <is>
          <t>HOLD</t>
        </is>
      </c>
      <c r="F37" s="7" t="n">
        <v>45936.92847222222</v>
      </c>
      <c r="G37" s="8" t="n">
        <v>99.70999999999999</v>
      </c>
      <c r="H37" s="8" t="n">
        <v>99.70999999999999</v>
      </c>
      <c r="I37" s="8" t="n">
        <v>99.70999999999999</v>
      </c>
      <c r="J37" s="6" t="inlineStr">
        <is>
          <t>LIEN7012770632</t>
        </is>
      </c>
      <c r="K37" s="6" t="inlineStr">
        <is>
          <t>N</t>
        </is>
      </c>
      <c r="L37" s="6" t="inlineStr">
        <is>
          <t>SUCCESS</t>
        </is>
      </c>
      <c r="M37" s="6" t="inlineStr">
        <is>
          <t>Hold placed successfully</t>
        </is>
      </c>
    </row>
    <row r="38">
      <c r="A38" s="6" t="inlineStr">
        <is>
          <t>ACT-0021-01</t>
        </is>
      </c>
      <c r="B38" s="6" t="inlineStr">
        <is>
          <t>I4C-CASE-2025-0021</t>
        </is>
      </c>
      <c r="C38" s="6" t="inlineStr">
        <is>
          <t>31608230000021</t>
        </is>
      </c>
      <c r="D38" s="6" t="inlineStr">
        <is>
          <t>INC-0021-01</t>
        </is>
      </c>
      <c r="E38" s="6" t="inlineStr">
        <is>
          <t>NEGATIVE_LIEN</t>
        </is>
      </c>
      <c r="F38" s="7" t="n">
        <v>45937.79861111111</v>
      </c>
      <c r="G38" s="8" t="n">
        <v>35.53</v>
      </c>
      <c r="H38" s="8" t="n">
        <v>0</v>
      </c>
      <c r="I38" s="8" t="n">
        <v>0</v>
      </c>
      <c r="J38" s="6" t="inlineStr"/>
      <c r="K38" s="6" t="inlineStr">
        <is>
          <t>Y</t>
        </is>
      </c>
      <c r="L38" s="6" t="inlineStr">
        <is>
          <t>SUCCESS</t>
        </is>
      </c>
      <c r="M38" s="6" t="inlineStr">
        <is>
          <t>Balance not available; negative lien marked</t>
        </is>
      </c>
    </row>
    <row r="39">
      <c r="A39" s="6" t="inlineStr">
        <is>
          <t>ACT-0021-02</t>
        </is>
      </c>
      <c r="B39" s="6" t="inlineStr">
        <is>
          <t>I4C-CASE-2025-0021</t>
        </is>
      </c>
      <c r="C39" s="6" t="inlineStr">
        <is>
          <t>31608230000021</t>
        </is>
      </c>
      <c r="D39" s="6" t="inlineStr">
        <is>
          <t>INC-0021-02</t>
        </is>
      </c>
      <c r="E39" s="6" t="inlineStr">
        <is>
          <t>NEGATIVE_LIEN</t>
        </is>
      </c>
      <c r="F39" s="7" t="n">
        <v>45937.79861111111</v>
      </c>
      <c r="G39" s="8" t="n">
        <v>99.75</v>
      </c>
      <c r="H39" s="8" t="n">
        <v>0</v>
      </c>
      <c r="I39" s="8" t="n">
        <v>0</v>
      </c>
      <c r="J39" s="6" t="inlineStr"/>
      <c r="K39" s="6" t="inlineStr">
        <is>
          <t>Y</t>
        </is>
      </c>
      <c r="L39" s="6" t="inlineStr">
        <is>
          <t>SUCCESS</t>
        </is>
      </c>
      <c r="M39" s="6" t="inlineStr">
        <is>
          <t>Balance not available; negative lien marked</t>
        </is>
      </c>
    </row>
    <row r="40">
      <c r="A40" s="6" t="inlineStr">
        <is>
          <t>ACT-0022-01</t>
        </is>
      </c>
      <c r="B40" s="6" t="inlineStr">
        <is>
          <t>I4C-CASE-2025-0022</t>
        </is>
      </c>
      <c r="C40" s="6" t="inlineStr">
        <is>
          <t>31608230000022</t>
        </is>
      </c>
      <c r="D40" s="6" t="inlineStr">
        <is>
          <t>INC-0022-01</t>
        </is>
      </c>
      <c r="E40" s="6" t="inlineStr">
        <is>
          <t>HOLD</t>
        </is>
      </c>
      <c r="F40" s="7" t="n">
        <v>45937.11666666667</v>
      </c>
      <c r="G40" s="8" t="n">
        <v>500.86</v>
      </c>
      <c r="H40" s="8" t="n">
        <v>0</v>
      </c>
      <c r="I40" s="8" t="n">
        <v>0</v>
      </c>
      <c r="J40" s="6" t="inlineStr"/>
      <c r="K40" s="6" t="inlineStr">
        <is>
          <t>N</t>
        </is>
      </c>
      <c r="L40" s="6" t="inlineStr">
        <is>
          <t>PENDING_RETRY</t>
        </is>
      </c>
      <c r="M40" s="6" t="inlineStr">
        <is>
          <t>CBS timeout; will retry</t>
        </is>
      </c>
    </row>
    <row r="41">
      <c r="A41" s="6" t="inlineStr">
        <is>
          <t>ACT-0023-01</t>
        </is>
      </c>
      <c r="B41" s="6" t="inlineStr">
        <is>
          <t>I4C-CASE-2025-0023</t>
        </is>
      </c>
      <c r="C41" s="6" t="inlineStr">
        <is>
          <t>31608230000023</t>
        </is>
      </c>
      <c r="D41" s="6" t="inlineStr">
        <is>
          <t>INC-0023-01</t>
        </is>
      </c>
      <c r="E41" s="6" t="inlineStr">
        <is>
          <t>HOLD</t>
        </is>
      </c>
      <c r="F41" s="7" t="n">
        <v>45938.69791666666</v>
      </c>
      <c r="G41" s="8" t="n">
        <v>99.42</v>
      </c>
      <c r="H41" s="8" t="n">
        <v>99.42</v>
      </c>
      <c r="I41" s="8" t="n">
        <v>99.42</v>
      </c>
      <c r="J41" s="6" t="inlineStr">
        <is>
          <t>LIEN3132912127</t>
        </is>
      </c>
      <c r="K41" s="6" t="inlineStr">
        <is>
          <t>N</t>
        </is>
      </c>
      <c r="L41" s="6" t="inlineStr">
        <is>
          <t>SUCCESS</t>
        </is>
      </c>
      <c r="M41" s="6" t="inlineStr">
        <is>
          <t>Hold placed successfully</t>
        </is>
      </c>
    </row>
    <row r="42">
      <c r="A42" s="6" t="inlineStr">
        <is>
          <t>ACT-0024-01</t>
        </is>
      </c>
      <c r="B42" s="6" t="inlineStr">
        <is>
          <t>I4C-CASE-2025-0024</t>
        </is>
      </c>
      <c r="C42" s="6" t="inlineStr">
        <is>
          <t>31608230000024</t>
        </is>
      </c>
      <c r="D42" s="6" t="inlineStr">
        <is>
          <t>INC-0024-01</t>
        </is>
      </c>
      <c r="E42" s="6" t="inlineStr">
        <is>
          <t>HOLD</t>
        </is>
      </c>
      <c r="F42" s="7" t="n">
        <v>45953.34166666667</v>
      </c>
      <c r="G42" s="8" t="n">
        <v>250.69</v>
      </c>
      <c r="H42" s="8" t="n">
        <v>0</v>
      </c>
      <c r="I42" s="8" t="n">
        <v>0</v>
      </c>
      <c r="J42" s="6" t="inlineStr"/>
      <c r="K42" s="6" t="inlineStr">
        <is>
          <t>N</t>
        </is>
      </c>
      <c r="L42" s="6" t="inlineStr">
        <is>
          <t>FAIL</t>
        </is>
      </c>
      <c r="M42" s="6" t="inlineStr">
        <is>
          <t>Account not found</t>
        </is>
      </c>
    </row>
    <row r="43">
      <c r="A43" s="6" t="inlineStr">
        <is>
          <t>ACT-0024-02</t>
        </is>
      </c>
      <c r="B43" s="6" t="inlineStr">
        <is>
          <t>I4C-CASE-2025-0024</t>
        </is>
      </c>
      <c r="C43" s="6" t="inlineStr">
        <is>
          <t>31608230000024</t>
        </is>
      </c>
      <c r="D43" s="6" t="inlineStr">
        <is>
          <t>INC-0024-02</t>
        </is>
      </c>
      <c r="E43" s="6" t="inlineStr">
        <is>
          <t>HOLD</t>
        </is>
      </c>
      <c r="F43" s="7" t="n">
        <v>45953.34166666667</v>
      </c>
      <c r="G43" s="8" t="n">
        <v>4999.3</v>
      </c>
      <c r="H43" s="8" t="n">
        <v>0</v>
      </c>
      <c r="I43" s="8" t="n">
        <v>0</v>
      </c>
      <c r="J43" s="6" t="inlineStr"/>
      <c r="K43" s="6" t="inlineStr">
        <is>
          <t>N</t>
        </is>
      </c>
      <c r="L43" s="6" t="inlineStr">
        <is>
          <t>FAIL</t>
        </is>
      </c>
      <c r="M43" s="6" t="inlineStr">
        <is>
          <t>Account not found</t>
        </is>
      </c>
    </row>
    <row r="44">
      <c r="A44" s="6" t="inlineStr">
        <is>
          <t>ACT-0024-03</t>
        </is>
      </c>
      <c r="B44" s="6" t="inlineStr">
        <is>
          <t>I4C-CASE-2025-0024</t>
        </is>
      </c>
      <c r="C44" s="6" t="inlineStr">
        <is>
          <t>31608230000024</t>
        </is>
      </c>
      <c r="D44" s="6" t="inlineStr">
        <is>
          <t>INC-0024-03</t>
        </is>
      </c>
      <c r="E44" s="6" t="inlineStr">
        <is>
          <t>HOLD</t>
        </is>
      </c>
      <c r="F44" s="7" t="n">
        <v>45953.34166666667</v>
      </c>
      <c r="G44" s="8" t="n">
        <v>9999.58</v>
      </c>
      <c r="H44" s="8" t="n">
        <v>0</v>
      </c>
      <c r="I44" s="8" t="n">
        <v>0</v>
      </c>
      <c r="J44" s="6" t="inlineStr"/>
      <c r="K44" s="6" t="inlineStr">
        <is>
          <t>N</t>
        </is>
      </c>
      <c r="L44" s="6" t="inlineStr">
        <is>
          <t>FAIL</t>
        </is>
      </c>
      <c r="M44" s="6" t="inlineStr">
        <is>
          <t>Account not found</t>
        </is>
      </c>
    </row>
    <row r="45">
      <c r="A45" s="6" t="inlineStr">
        <is>
          <t>ACT-0025-01</t>
        </is>
      </c>
      <c r="B45" s="6" t="inlineStr">
        <is>
          <t>I4C-CASE-2025-0025</t>
        </is>
      </c>
      <c r="C45" s="6" t="inlineStr">
        <is>
          <t>31608230000025</t>
        </is>
      </c>
      <c r="D45" s="6" t="inlineStr">
        <is>
          <t>INC-0025-01</t>
        </is>
      </c>
      <c r="E45" s="6" t="inlineStr">
        <is>
          <t>HOLD</t>
        </is>
      </c>
      <c r="F45" s="7" t="n">
        <v>45946.82569444444</v>
      </c>
      <c r="G45" s="8" t="n">
        <v>500.01</v>
      </c>
      <c r="H45" s="8" t="n">
        <v>500.01</v>
      </c>
      <c r="I45" s="8" t="n">
        <v>500.01</v>
      </c>
      <c r="J45" s="6" t="inlineStr">
        <is>
          <t>LIEN1158693806</t>
        </is>
      </c>
      <c r="K45" s="6" t="inlineStr">
        <is>
          <t>N</t>
        </is>
      </c>
      <c r="L45" s="6" t="inlineStr">
        <is>
          <t>SUCCESS</t>
        </is>
      </c>
      <c r="M45" s="6" t="inlineStr">
        <is>
          <t>Hold placed successfully</t>
        </is>
      </c>
    </row>
    <row r="46">
      <c r="A46" s="6" t="inlineStr">
        <is>
          <t>ACT-0025-02</t>
        </is>
      </c>
      <c r="B46" s="6" t="inlineStr">
        <is>
          <t>I4C-CASE-2025-0025</t>
        </is>
      </c>
      <c r="C46" s="6" t="inlineStr">
        <is>
          <t>31608230000025</t>
        </is>
      </c>
      <c r="D46" s="6" t="inlineStr">
        <is>
          <t>INC-0025-02</t>
        </is>
      </c>
      <c r="E46" s="6" t="inlineStr">
        <is>
          <t>HOLD</t>
        </is>
      </c>
      <c r="F46" s="7" t="n">
        <v>45946.82569444444</v>
      </c>
      <c r="G46" s="8" t="n">
        <v>4999.08</v>
      </c>
      <c r="H46" s="8" t="n">
        <v>4999.08</v>
      </c>
      <c r="I46" s="8" t="n">
        <v>4999.08</v>
      </c>
      <c r="J46" s="6" t="inlineStr">
        <is>
          <t>LIEN6879374160</t>
        </is>
      </c>
      <c r="K46" s="6" t="inlineStr">
        <is>
          <t>N</t>
        </is>
      </c>
      <c r="L46" s="6" t="inlineStr">
        <is>
          <t>SUCCESS</t>
        </is>
      </c>
      <c r="M46" s="6" t="inlineStr">
        <is>
          <t>Hold placed successfully</t>
        </is>
      </c>
    </row>
    <row r="47">
      <c r="A47" s="6" t="inlineStr">
        <is>
          <t>ACT-0025-03</t>
        </is>
      </c>
      <c r="B47" s="6" t="inlineStr">
        <is>
          <t>I4C-CASE-2025-0025</t>
        </is>
      </c>
      <c r="C47" s="6" t="inlineStr">
        <is>
          <t>31608230000025</t>
        </is>
      </c>
      <c r="D47" s="6" t="inlineStr">
        <is>
          <t>INC-0025-03</t>
        </is>
      </c>
      <c r="E47" s="6" t="inlineStr">
        <is>
          <t>HOLD</t>
        </is>
      </c>
      <c r="F47" s="7" t="n">
        <v>45946.82569444444</v>
      </c>
      <c r="G47" s="8" t="n">
        <v>99.09999999999999</v>
      </c>
      <c r="H47" s="8" t="n">
        <v>99.09999999999999</v>
      </c>
      <c r="I47" s="8" t="n">
        <v>99.09999999999999</v>
      </c>
      <c r="J47" s="6" t="inlineStr">
        <is>
          <t>LIEN8992172233</t>
        </is>
      </c>
      <c r="K47" s="6" t="inlineStr">
        <is>
          <t>N</t>
        </is>
      </c>
      <c r="L47" s="6" t="inlineStr">
        <is>
          <t>SUCCESS</t>
        </is>
      </c>
      <c r="M47" s="6" t="inlineStr">
        <is>
          <t>Hold placed successfully</t>
        </is>
      </c>
    </row>
    <row r="48">
      <c r="A48" s="6" t="inlineStr">
        <is>
          <t>ACT-0026-01</t>
        </is>
      </c>
      <c r="B48" s="6" t="inlineStr">
        <is>
          <t>I4C-CASE-2025-0026</t>
        </is>
      </c>
      <c r="C48" s="6" t="inlineStr">
        <is>
          <t>31608230000026</t>
        </is>
      </c>
      <c r="D48" s="6" t="inlineStr">
        <is>
          <t>INC-0026-01</t>
        </is>
      </c>
      <c r="E48" s="6" t="inlineStr">
        <is>
          <t>HOLD</t>
        </is>
      </c>
      <c r="F48" s="7" t="n">
        <v>45958.7</v>
      </c>
      <c r="G48" s="8" t="n">
        <v>500.14</v>
      </c>
      <c r="H48" s="8" t="n">
        <v>500.14</v>
      </c>
      <c r="I48" s="8" t="n">
        <v>500.14</v>
      </c>
      <c r="J48" s="6" t="inlineStr">
        <is>
          <t>LIEN6785082148</t>
        </is>
      </c>
      <c r="K48" s="6" t="inlineStr">
        <is>
          <t>N</t>
        </is>
      </c>
      <c r="L48" s="6" t="inlineStr">
        <is>
          <t>SUCCESS</t>
        </is>
      </c>
      <c r="M48" s="6" t="inlineStr">
        <is>
          <t>Hold placed successfully</t>
        </is>
      </c>
    </row>
    <row r="49">
      <c r="A49" s="6" t="inlineStr">
        <is>
          <t>ACT-0027-01</t>
        </is>
      </c>
      <c r="B49" s="6" t="inlineStr">
        <is>
          <t>I4C-CASE-2025-0027</t>
        </is>
      </c>
      <c r="C49" s="6" t="inlineStr">
        <is>
          <t>31608230000027</t>
        </is>
      </c>
      <c r="D49" s="6" t="inlineStr">
        <is>
          <t>INC-0027-01</t>
        </is>
      </c>
      <c r="E49" s="6" t="inlineStr">
        <is>
          <t>HOLD</t>
        </is>
      </c>
      <c r="F49" s="7" t="n">
        <v>45943.64027777778</v>
      </c>
      <c r="G49" s="8" t="n">
        <v>1250.1</v>
      </c>
      <c r="H49" s="8" t="n">
        <v>0</v>
      </c>
      <c r="I49" s="8" t="n">
        <v>0</v>
      </c>
      <c r="J49" s="6" t="inlineStr"/>
      <c r="K49" s="6" t="inlineStr">
        <is>
          <t>N</t>
        </is>
      </c>
      <c r="L49" s="6" t="inlineStr">
        <is>
          <t>FAIL</t>
        </is>
      </c>
      <c r="M49" s="6" t="inlineStr">
        <is>
          <t>Account not found</t>
        </is>
      </c>
    </row>
    <row r="50">
      <c r="A50" s="6" t="inlineStr">
        <is>
          <t>ACT-0027-02</t>
        </is>
      </c>
      <c r="B50" s="6" t="inlineStr">
        <is>
          <t>I4C-CASE-2025-0027</t>
        </is>
      </c>
      <c r="C50" s="6" t="inlineStr">
        <is>
          <t>31608230000027</t>
        </is>
      </c>
      <c r="D50" s="6" t="inlineStr">
        <is>
          <t>INC-0027-02</t>
        </is>
      </c>
      <c r="E50" s="6" t="inlineStr">
        <is>
          <t>HOLD</t>
        </is>
      </c>
      <c r="F50" s="7" t="n">
        <v>45943.64027777778</v>
      </c>
      <c r="G50" s="8" t="n">
        <v>4999.78</v>
      </c>
      <c r="H50" s="8" t="n">
        <v>0</v>
      </c>
      <c r="I50" s="8" t="n">
        <v>0</v>
      </c>
      <c r="J50" s="6" t="inlineStr"/>
      <c r="K50" s="6" t="inlineStr">
        <is>
          <t>N</t>
        </is>
      </c>
      <c r="L50" s="6" t="inlineStr">
        <is>
          <t>FAIL</t>
        </is>
      </c>
      <c r="M50" s="6" t="inlineStr">
        <is>
          <t>Account not found</t>
        </is>
      </c>
    </row>
    <row r="51">
      <c r="A51" s="6" t="inlineStr">
        <is>
          <t>ACT-0027-03</t>
        </is>
      </c>
      <c r="B51" s="6" t="inlineStr">
        <is>
          <t>I4C-CASE-2025-0027</t>
        </is>
      </c>
      <c r="C51" s="6" t="inlineStr">
        <is>
          <t>31608230000027</t>
        </is>
      </c>
      <c r="D51" s="6" t="inlineStr">
        <is>
          <t>INC-0027-03</t>
        </is>
      </c>
      <c r="E51" s="6" t="inlineStr">
        <is>
          <t>HOLD</t>
        </is>
      </c>
      <c r="F51" s="7" t="n">
        <v>45943.64027777778</v>
      </c>
      <c r="G51" s="8" t="n">
        <v>35.87</v>
      </c>
      <c r="H51" s="8" t="n">
        <v>0</v>
      </c>
      <c r="I51" s="8" t="n">
        <v>0</v>
      </c>
      <c r="J51" s="6" t="inlineStr"/>
      <c r="K51" s="6" t="inlineStr">
        <is>
          <t>N</t>
        </is>
      </c>
      <c r="L51" s="6" t="inlineStr">
        <is>
          <t>FAIL</t>
        </is>
      </c>
      <c r="M51" s="6" t="inlineStr">
        <is>
          <t>Account not found</t>
        </is>
      </c>
    </row>
    <row r="52">
      <c r="A52" s="6" t="inlineStr">
        <is>
          <t>ACT-0028-01</t>
        </is>
      </c>
      <c r="B52" s="6" t="inlineStr">
        <is>
          <t>I4C-CASE-2025-0028</t>
        </is>
      </c>
      <c r="C52" s="6" t="inlineStr">
        <is>
          <t>31608230000028</t>
        </is>
      </c>
      <c r="D52" s="6" t="inlineStr">
        <is>
          <t>INC-0028-01</t>
        </is>
      </c>
      <c r="E52" s="6" t="inlineStr">
        <is>
          <t>HOLD</t>
        </is>
      </c>
      <c r="F52" s="7" t="n">
        <v>45941.08472222222</v>
      </c>
      <c r="G52" s="8" t="n">
        <v>35.01</v>
      </c>
      <c r="H52" s="8" t="n">
        <v>35.01</v>
      </c>
      <c r="I52" s="8" t="n">
        <v>35.01</v>
      </c>
      <c r="J52" s="6" t="inlineStr">
        <is>
          <t>LIEN1670145089</t>
        </is>
      </c>
      <c r="K52" s="6" t="inlineStr">
        <is>
          <t>N</t>
        </is>
      </c>
      <c r="L52" s="6" t="inlineStr">
        <is>
          <t>SUCCESS</t>
        </is>
      </c>
      <c r="M52" s="6" t="inlineStr">
        <is>
          <t>Hold placed successfully</t>
        </is>
      </c>
    </row>
    <row r="53">
      <c r="A53" s="6" t="inlineStr">
        <is>
          <t>ACT-0028-02</t>
        </is>
      </c>
      <c r="B53" s="6" t="inlineStr">
        <is>
          <t>I4C-CASE-2025-0028</t>
        </is>
      </c>
      <c r="C53" s="6" t="inlineStr">
        <is>
          <t>31608230000028</t>
        </is>
      </c>
      <c r="D53" s="6" t="inlineStr">
        <is>
          <t>INC-0028-02</t>
        </is>
      </c>
      <c r="E53" s="6" t="inlineStr">
        <is>
          <t>HOLD</t>
        </is>
      </c>
      <c r="F53" s="7" t="n">
        <v>45941.08472222222</v>
      </c>
      <c r="G53" s="8" t="n">
        <v>250.81</v>
      </c>
      <c r="H53" s="8" t="n">
        <v>250.81</v>
      </c>
      <c r="I53" s="8" t="n">
        <v>250.81</v>
      </c>
      <c r="J53" s="6" t="inlineStr">
        <is>
          <t>LIEN3588916375</t>
        </is>
      </c>
      <c r="K53" s="6" t="inlineStr">
        <is>
          <t>N</t>
        </is>
      </c>
      <c r="L53" s="6" t="inlineStr">
        <is>
          <t>SUCCESS</t>
        </is>
      </c>
      <c r="M53" s="6" t="inlineStr">
        <is>
          <t>Hold placed successfully</t>
        </is>
      </c>
    </row>
    <row r="54">
      <c r="A54" s="6" t="inlineStr">
        <is>
          <t>ACT-0029-01</t>
        </is>
      </c>
      <c r="B54" s="6" t="inlineStr">
        <is>
          <t>I4C-CASE-2025-0029</t>
        </is>
      </c>
      <c r="C54" s="6" t="inlineStr">
        <is>
          <t>31608230000029</t>
        </is>
      </c>
      <c r="D54" s="6" t="inlineStr">
        <is>
          <t>INC-0029-01</t>
        </is>
      </c>
      <c r="E54" s="6" t="inlineStr">
        <is>
          <t>HOLD</t>
        </is>
      </c>
      <c r="F54" s="7" t="n">
        <v>45937.14236111111</v>
      </c>
      <c r="G54" s="8" t="n">
        <v>1250.21</v>
      </c>
      <c r="H54" s="8" t="n">
        <v>1250.21</v>
      </c>
      <c r="I54" s="8" t="n">
        <v>1250.21</v>
      </c>
      <c r="J54" s="6" t="inlineStr">
        <is>
          <t>LIEN9958669346</t>
        </is>
      </c>
      <c r="K54" s="6" t="inlineStr">
        <is>
          <t>N</t>
        </is>
      </c>
      <c r="L54" s="6" t="inlineStr">
        <is>
          <t>SUCCESS</t>
        </is>
      </c>
      <c r="M54" s="6" t="inlineStr">
        <is>
          <t>Hold placed successfully</t>
        </is>
      </c>
    </row>
    <row r="55">
      <c r="A55" s="6" t="inlineStr">
        <is>
          <t>ACT-0029-02</t>
        </is>
      </c>
      <c r="B55" s="6" t="inlineStr">
        <is>
          <t>I4C-CASE-2025-0029</t>
        </is>
      </c>
      <c r="C55" s="6" t="inlineStr">
        <is>
          <t>31608230000029</t>
        </is>
      </c>
      <c r="D55" s="6" t="inlineStr">
        <is>
          <t>INC-0029-02</t>
        </is>
      </c>
      <c r="E55" s="6" t="inlineStr">
        <is>
          <t>HOLD</t>
        </is>
      </c>
      <c r="F55" s="7" t="n">
        <v>45937.14236111111</v>
      </c>
      <c r="G55" s="8" t="n">
        <v>9999.389999999999</v>
      </c>
      <c r="H55" s="8" t="n">
        <v>9999.389999999999</v>
      </c>
      <c r="I55" s="8" t="n">
        <v>9999.389999999999</v>
      </c>
      <c r="J55" s="6" t="inlineStr">
        <is>
          <t>LIEN4722698485</t>
        </is>
      </c>
      <c r="K55" s="6" t="inlineStr">
        <is>
          <t>N</t>
        </is>
      </c>
      <c r="L55" s="6" t="inlineStr">
        <is>
          <t>SUCCESS</t>
        </is>
      </c>
      <c r="M55" s="6" t="inlineStr">
        <is>
          <t>Hold placed successfully</t>
        </is>
      </c>
    </row>
    <row r="56">
      <c r="A56" s="6" t="inlineStr">
        <is>
          <t>ACT-0030-01</t>
        </is>
      </c>
      <c r="B56" s="6" t="inlineStr">
        <is>
          <t>I4C-CASE-2025-0030</t>
        </is>
      </c>
      <c r="C56" s="6" t="inlineStr">
        <is>
          <t>31608230000030</t>
        </is>
      </c>
      <c r="D56" s="6" t="inlineStr">
        <is>
          <t>INC-0030-01</t>
        </is>
      </c>
      <c r="E56" s="6" t="inlineStr">
        <is>
          <t>HOLD</t>
        </is>
      </c>
      <c r="F56" s="7" t="n">
        <v>45935.00208333333</v>
      </c>
      <c r="G56" s="8" t="n">
        <v>35.33</v>
      </c>
      <c r="H56" s="8" t="n">
        <v>0</v>
      </c>
      <c r="I56" s="8" t="n">
        <v>0</v>
      </c>
      <c r="J56" s="6" t="inlineStr"/>
      <c r="K56" s="6" t="inlineStr">
        <is>
          <t>N</t>
        </is>
      </c>
      <c r="L56" s="6" t="inlineStr">
        <is>
          <t>FAIL</t>
        </is>
      </c>
      <c r="M56" s="6" t="inlineStr">
        <is>
          <t>Account not found</t>
        </is>
      </c>
    </row>
  </sheetData>
  <autoFilter ref="A1:M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21" customWidth="1" min="4" max="4"/>
    <col width="14" customWidth="1" min="5" max="5"/>
    <col width="20" customWidth="1" min="6" max="6"/>
    <col width="19" customWidth="1" min="7" max="7"/>
    <col width="19" customWidth="1" min="8" max="8"/>
  </cols>
  <sheetData>
    <row r="1" ht="22" customHeight="1">
      <c r="A1" s="4" t="inlineStr">
        <is>
          <t>request_id</t>
        </is>
      </c>
      <c r="B1" s="4" t="inlineStr">
        <is>
          <t>acknowledgement_no</t>
        </is>
      </c>
      <c r="C1" s="4" t="inlineStr">
        <is>
          <t>job_id</t>
        </is>
      </c>
      <c r="D1" s="4" t="inlineStr">
        <is>
          <t>sent_at</t>
        </is>
      </c>
      <c r="E1" s="4" t="inlineStr">
        <is>
          <t>content_type</t>
        </is>
      </c>
      <c r="F1" s="4" t="inlineStr">
        <is>
          <t>authorization_type</t>
        </is>
      </c>
      <c r="G1" s="4" t="inlineStr">
        <is>
          <t>payload_encrypted</t>
        </is>
      </c>
      <c r="H1" s="4" t="inlineStr">
        <is>
          <t>transaction_count</t>
        </is>
      </c>
    </row>
    <row r="2">
      <c r="A2" s="6" t="inlineStr">
        <is>
          <t>REQ-00001</t>
        </is>
      </c>
      <c r="B2" s="6" t="inlineStr">
        <is>
          <t>31608230000001</t>
        </is>
      </c>
      <c r="C2" s="6" t="inlineStr">
        <is>
          <t>a809e351-37a8-4017-9977-dc4d0e60ec7b</t>
        </is>
      </c>
      <c r="D2" s="7" t="n">
        <v>45944.27916666667</v>
      </c>
      <c r="E2" s="6" t="inlineStr">
        <is>
          <t>text/plain</t>
        </is>
      </c>
      <c r="F2" s="6" t="inlineStr">
        <is>
          <t>Bearer &lt;JWT_TOKEN&gt;</t>
        </is>
      </c>
      <c r="G2" s="6" t="inlineStr">
        <is>
          <t>Y</t>
        </is>
      </c>
      <c r="H2" s="6" t="n">
        <v>2</v>
      </c>
    </row>
    <row r="3">
      <c r="A3" s="6" t="inlineStr">
        <is>
          <t>REQ-00002</t>
        </is>
      </c>
      <c r="B3" s="6" t="inlineStr">
        <is>
          <t>31608230000002</t>
        </is>
      </c>
      <c r="C3" s="6" t="inlineStr">
        <is>
          <t>dc8ac3a9-c97b-4688-a12b-989696a01ca5</t>
        </is>
      </c>
      <c r="D3" s="7" t="n">
        <v>45950.08055555556</v>
      </c>
      <c r="E3" s="6" t="inlineStr">
        <is>
          <t>text/plain</t>
        </is>
      </c>
      <c r="F3" s="6" t="inlineStr">
        <is>
          <t>Bearer &lt;JWT_TOKEN&gt;</t>
        </is>
      </c>
      <c r="G3" s="6" t="inlineStr">
        <is>
          <t>Y</t>
        </is>
      </c>
      <c r="H3" s="6" t="n">
        <v>3</v>
      </c>
    </row>
    <row r="4">
      <c r="A4" s="6" t="inlineStr">
        <is>
          <t>REQ-00003</t>
        </is>
      </c>
      <c r="B4" s="6" t="inlineStr">
        <is>
          <t>31608230000003</t>
        </is>
      </c>
      <c r="C4" s="6" t="inlineStr">
        <is>
          <t>a7cd9031-8026-4865-a5bf-503cb85d456b</t>
        </is>
      </c>
      <c r="D4" s="7" t="n">
        <v>45955.94722222222</v>
      </c>
      <c r="E4" s="6" t="inlineStr">
        <is>
          <t>text/plain</t>
        </is>
      </c>
      <c r="F4" s="6" t="inlineStr">
        <is>
          <t>Bearer &lt;JWT_TOKEN&gt;</t>
        </is>
      </c>
      <c r="G4" s="6" t="inlineStr">
        <is>
          <t>Y</t>
        </is>
      </c>
      <c r="H4" s="6" t="n">
        <v>2</v>
      </c>
    </row>
    <row r="5">
      <c r="A5" s="6" t="inlineStr">
        <is>
          <t>REQ-00004</t>
        </is>
      </c>
      <c r="B5" s="6" t="inlineStr">
        <is>
          <t>31608230000004</t>
        </is>
      </c>
      <c r="C5" s="6" t="inlineStr">
        <is>
          <t>260f5953-5ef8-4b0a-9ad0-aa82d14417c5</t>
        </is>
      </c>
      <c r="D5" s="7" t="n">
        <v>45936.96597222222</v>
      </c>
      <c r="E5" s="6" t="inlineStr">
        <is>
          <t>text/plain</t>
        </is>
      </c>
      <c r="F5" s="6" t="inlineStr">
        <is>
          <t>Bearer &lt;JWT_TOKEN&gt;</t>
        </is>
      </c>
      <c r="G5" s="6" t="inlineStr">
        <is>
          <t>Y</t>
        </is>
      </c>
      <c r="H5" s="6" t="n">
        <v>3</v>
      </c>
    </row>
    <row r="6">
      <c r="A6" s="6" t="inlineStr">
        <is>
          <t>REQ-00005</t>
        </is>
      </c>
      <c r="B6" s="6" t="inlineStr">
        <is>
          <t>31608230000005</t>
        </is>
      </c>
      <c r="C6" s="6" t="inlineStr">
        <is>
          <t>b84e9000-babf-4700-b34e-ccc2ca1554ce</t>
        </is>
      </c>
      <c r="D6" s="7" t="n">
        <v>45957.17430555556</v>
      </c>
      <c r="E6" s="6" t="inlineStr">
        <is>
          <t>text/plain</t>
        </is>
      </c>
      <c r="F6" s="6" t="inlineStr">
        <is>
          <t>Bearer &lt;JWT_TOKEN&gt;</t>
        </is>
      </c>
      <c r="G6" s="6" t="inlineStr">
        <is>
          <t>Y</t>
        </is>
      </c>
      <c r="H6" s="6" t="n">
        <v>2</v>
      </c>
    </row>
    <row r="7">
      <c r="A7" s="6" t="inlineStr">
        <is>
          <t>REQ-00006</t>
        </is>
      </c>
      <c r="B7" s="6" t="inlineStr">
        <is>
          <t>31608230000006</t>
        </is>
      </c>
      <c r="C7" s="6" t="inlineStr">
        <is>
          <t>87ad8bc0-8306-4d41-95e4-f3591d26c43f</t>
        </is>
      </c>
      <c r="D7" s="7" t="n">
        <v>45947.58194444444</v>
      </c>
      <c r="E7" s="6" t="inlineStr">
        <is>
          <t>text/plain</t>
        </is>
      </c>
      <c r="F7" s="6" t="inlineStr">
        <is>
          <t>Bearer &lt;JWT_TOKEN&gt;</t>
        </is>
      </c>
      <c r="G7" s="6" t="inlineStr">
        <is>
          <t>Y</t>
        </is>
      </c>
      <c r="H7" s="6" t="n">
        <v>1</v>
      </c>
    </row>
    <row r="8">
      <c r="A8" s="6" t="inlineStr">
        <is>
          <t>REQ-00007</t>
        </is>
      </c>
      <c r="B8" s="6" t="inlineStr">
        <is>
          <t>31608230000007</t>
        </is>
      </c>
      <c r="C8" s="6" t="inlineStr">
        <is>
          <t>0797d398-04e1-458f-a273-42c1b0a09584</t>
        </is>
      </c>
      <c r="D8" s="7" t="n">
        <v>45951.58055555556</v>
      </c>
      <c r="E8" s="6" t="inlineStr">
        <is>
          <t>text/plain</t>
        </is>
      </c>
      <c r="F8" s="6" t="inlineStr">
        <is>
          <t>Bearer &lt;JWT_TOKEN&gt;</t>
        </is>
      </c>
      <c r="G8" s="6" t="inlineStr">
        <is>
          <t>Y</t>
        </is>
      </c>
      <c r="H8" s="6" t="n">
        <v>1</v>
      </c>
    </row>
    <row r="9">
      <c r="A9" s="6" t="inlineStr">
        <is>
          <t>REQ-00008</t>
        </is>
      </c>
      <c r="B9" s="6" t="inlineStr">
        <is>
          <t>31608230000008</t>
        </is>
      </c>
      <c r="C9" s="6" t="inlineStr">
        <is>
          <t>382fbbbe-527b-4d04-ae9f-ca5e0427223c</t>
        </is>
      </c>
      <c r="D9" s="7" t="n">
        <v>45951.97777777778</v>
      </c>
      <c r="E9" s="6" t="inlineStr">
        <is>
          <t>text/plain</t>
        </is>
      </c>
      <c r="F9" s="6" t="inlineStr">
        <is>
          <t>Bearer &lt;JWT_TOKEN&gt;</t>
        </is>
      </c>
      <c r="G9" s="6" t="inlineStr">
        <is>
          <t>Y</t>
        </is>
      </c>
      <c r="H9" s="6" t="n">
        <v>2</v>
      </c>
    </row>
    <row r="10">
      <c r="A10" s="6" t="inlineStr">
        <is>
          <t>REQ-00009</t>
        </is>
      </c>
      <c r="B10" s="6" t="inlineStr">
        <is>
          <t>31608230000009</t>
        </is>
      </c>
      <c r="C10" s="6" t="inlineStr">
        <is>
          <t>8ebca7ef-f7dc-40cd-a99e-7537d57a4b40</t>
        </is>
      </c>
      <c r="D10" s="7" t="n">
        <v>45960.41180555556</v>
      </c>
      <c r="E10" s="6" t="inlineStr">
        <is>
          <t>text/plain</t>
        </is>
      </c>
      <c r="F10" s="6" t="inlineStr">
        <is>
          <t>Bearer &lt;JWT_TOKEN&gt;</t>
        </is>
      </c>
      <c r="G10" s="6" t="inlineStr">
        <is>
          <t>Y</t>
        </is>
      </c>
      <c r="H10" s="6" t="n">
        <v>1</v>
      </c>
    </row>
    <row r="11">
      <c r="A11" s="6" t="inlineStr">
        <is>
          <t>REQ-00010</t>
        </is>
      </c>
      <c r="B11" s="6" t="inlineStr">
        <is>
          <t>31608230000010</t>
        </is>
      </c>
      <c r="C11" s="6" t="inlineStr">
        <is>
          <t>7ccbb3c8-ddb8-415f-9d43-4be9e9a11433</t>
        </is>
      </c>
      <c r="D11" s="7" t="n">
        <v>45948.36527777778</v>
      </c>
      <c r="E11" s="6" t="inlineStr">
        <is>
          <t>text/plain</t>
        </is>
      </c>
      <c r="F11" s="6" t="inlineStr">
        <is>
          <t>Bearer &lt;JWT_TOKEN&gt;</t>
        </is>
      </c>
      <c r="G11" s="6" t="inlineStr">
        <is>
          <t>Y</t>
        </is>
      </c>
      <c r="H11" s="6" t="n">
        <v>1</v>
      </c>
    </row>
    <row r="12">
      <c r="A12" s="6" t="inlineStr">
        <is>
          <t>REQ-00011</t>
        </is>
      </c>
      <c r="B12" s="6" t="inlineStr">
        <is>
          <t>31608230000011</t>
        </is>
      </c>
      <c r="C12" s="6" t="inlineStr">
        <is>
          <t>f2a9ed34-112d-43e1-99ae-06af4acc27ef</t>
        </is>
      </c>
      <c r="D12" s="7" t="n">
        <v>45933.51319444444</v>
      </c>
      <c r="E12" s="6" t="inlineStr">
        <is>
          <t>text/plain</t>
        </is>
      </c>
      <c r="F12" s="6" t="inlineStr">
        <is>
          <t>Bearer &lt;JWT_TOKEN&gt;</t>
        </is>
      </c>
      <c r="G12" s="6" t="inlineStr">
        <is>
          <t>Y</t>
        </is>
      </c>
      <c r="H12" s="6" t="n">
        <v>1</v>
      </c>
    </row>
    <row r="13">
      <c r="A13" s="6" t="inlineStr">
        <is>
          <t>REQ-00012</t>
        </is>
      </c>
      <c r="B13" s="6" t="inlineStr">
        <is>
          <t>31608230000012</t>
        </is>
      </c>
      <c r="C13" s="6" t="inlineStr">
        <is>
          <t>fb1b1cf6-96ac-46a4-84ac-3eacc39b2bd8</t>
        </is>
      </c>
      <c r="D13" s="7" t="n">
        <v>45946.89861111111</v>
      </c>
      <c r="E13" s="6" t="inlineStr">
        <is>
          <t>text/plain</t>
        </is>
      </c>
      <c r="F13" s="6" t="inlineStr">
        <is>
          <t>Bearer &lt;JWT_TOKEN&gt;</t>
        </is>
      </c>
      <c r="G13" s="6" t="inlineStr">
        <is>
          <t>Y</t>
        </is>
      </c>
      <c r="H13" s="6" t="n">
        <v>2</v>
      </c>
    </row>
    <row r="14">
      <c r="A14" s="6" t="inlineStr">
        <is>
          <t>REQ-00013</t>
        </is>
      </c>
      <c r="B14" s="6" t="inlineStr">
        <is>
          <t>31608230000013</t>
        </is>
      </c>
      <c r="C14" s="6" t="inlineStr">
        <is>
          <t>17c42136-f082-48bc-b610-0672d0d42072</t>
        </is>
      </c>
      <c r="D14" s="7" t="n">
        <v>45955.42152777778</v>
      </c>
      <c r="E14" s="6" t="inlineStr">
        <is>
          <t>text/plain</t>
        </is>
      </c>
      <c r="F14" s="6" t="inlineStr">
        <is>
          <t>Bearer &lt;JWT_TOKEN&gt;</t>
        </is>
      </c>
      <c r="G14" s="6" t="inlineStr">
        <is>
          <t>Y</t>
        </is>
      </c>
      <c r="H14" s="6" t="n">
        <v>3</v>
      </c>
    </row>
    <row r="15">
      <c r="A15" s="6" t="inlineStr">
        <is>
          <t>REQ-00014</t>
        </is>
      </c>
      <c r="B15" s="6" t="inlineStr">
        <is>
          <t>31608230000014</t>
        </is>
      </c>
      <c r="C15" s="6" t="inlineStr">
        <is>
          <t>85909e1c-12aa-470f-981c-2741dccddf7f</t>
        </is>
      </c>
      <c r="D15" s="7" t="n">
        <v>45947.41388888889</v>
      </c>
      <c r="E15" s="6" t="inlineStr">
        <is>
          <t>text/plain</t>
        </is>
      </c>
      <c r="F15" s="6" t="inlineStr">
        <is>
          <t>Bearer &lt;JWT_TOKEN&gt;</t>
        </is>
      </c>
      <c r="G15" s="6" t="inlineStr">
        <is>
          <t>Y</t>
        </is>
      </c>
      <c r="H15" s="6" t="n">
        <v>2</v>
      </c>
    </row>
    <row r="16">
      <c r="A16" s="6" t="inlineStr">
        <is>
          <t>REQ-00015</t>
        </is>
      </c>
      <c r="B16" s="6" t="inlineStr">
        <is>
          <t>31608230000015</t>
        </is>
      </c>
      <c r="C16" s="6" t="inlineStr">
        <is>
          <t>e1bf6439-b35d-4699-8f1a-9e23440e90aa</t>
        </is>
      </c>
      <c r="D16" s="7" t="n">
        <v>45936.83194444444</v>
      </c>
      <c r="E16" s="6" t="inlineStr">
        <is>
          <t>text/plain</t>
        </is>
      </c>
      <c r="F16" s="6" t="inlineStr">
        <is>
          <t>Bearer &lt;JWT_TOKEN&gt;</t>
        </is>
      </c>
      <c r="G16" s="6" t="inlineStr">
        <is>
          <t>Y</t>
        </is>
      </c>
      <c r="H16" s="6" t="n">
        <v>1</v>
      </c>
    </row>
    <row r="17">
      <c r="A17" s="6" t="inlineStr">
        <is>
          <t>REQ-00016</t>
        </is>
      </c>
      <c r="B17" s="6" t="inlineStr">
        <is>
          <t>31608230000016</t>
        </is>
      </c>
      <c r="C17" s="6" t="inlineStr">
        <is>
          <t>79a28af4-62f8-4124-bbf2-32c6e9d92329</t>
        </is>
      </c>
      <c r="D17" s="7" t="n">
        <v>45952.69861111111</v>
      </c>
      <c r="E17" s="6" t="inlineStr">
        <is>
          <t>text/plain</t>
        </is>
      </c>
      <c r="F17" s="6" t="inlineStr">
        <is>
          <t>Bearer &lt;JWT_TOKEN&gt;</t>
        </is>
      </c>
      <c r="G17" s="6" t="inlineStr">
        <is>
          <t>Y</t>
        </is>
      </c>
      <c r="H17" s="6" t="n">
        <v>1</v>
      </c>
    </row>
    <row r="18">
      <c r="A18" s="6" t="inlineStr">
        <is>
          <t>REQ-00017</t>
        </is>
      </c>
      <c r="B18" s="6" t="inlineStr">
        <is>
          <t>31608230000017</t>
        </is>
      </c>
      <c r="C18" s="6" t="inlineStr">
        <is>
          <t>8f9d0193-d0ef-4ff0-8143-60e737c9760e</t>
        </is>
      </c>
      <c r="D18" s="7" t="n">
        <v>45949.38402777778</v>
      </c>
      <c r="E18" s="6" t="inlineStr">
        <is>
          <t>text/plain</t>
        </is>
      </c>
      <c r="F18" s="6" t="inlineStr">
        <is>
          <t>Bearer &lt;JWT_TOKEN&gt;</t>
        </is>
      </c>
      <c r="G18" s="6" t="inlineStr">
        <is>
          <t>Y</t>
        </is>
      </c>
      <c r="H18" s="6" t="n">
        <v>2</v>
      </c>
    </row>
    <row r="19">
      <c r="A19" s="6" t="inlineStr">
        <is>
          <t>REQ-00018</t>
        </is>
      </c>
      <c r="B19" s="6" t="inlineStr">
        <is>
          <t>31608230000018</t>
        </is>
      </c>
      <c r="C19" s="6" t="inlineStr">
        <is>
          <t>a392623d-7711-4020-a2c9-793555384b0b</t>
        </is>
      </c>
      <c r="D19" s="7" t="n">
        <v>45948.86388888889</v>
      </c>
      <c r="E19" s="6" t="inlineStr">
        <is>
          <t>text/plain</t>
        </is>
      </c>
      <c r="F19" s="6" t="inlineStr">
        <is>
          <t>Bearer &lt;JWT_TOKEN&gt;</t>
        </is>
      </c>
      <c r="G19" s="6" t="inlineStr">
        <is>
          <t>Y</t>
        </is>
      </c>
      <c r="H19" s="6" t="n">
        <v>2</v>
      </c>
    </row>
    <row r="20">
      <c r="A20" s="6" t="inlineStr">
        <is>
          <t>REQ-00019</t>
        </is>
      </c>
      <c r="B20" s="6" t="inlineStr">
        <is>
          <t>31608230000019</t>
        </is>
      </c>
      <c r="C20" s="6" t="inlineStr">
        <is>
          <t>5c2cbf12-f130-47b1-a973-31250ad54c30</t>
        </is>
      </c>
      <c r="D20" s="7" t="n">
        <v>45938.26180555556</v>
      </c>
      <c r="E20" s="6" t="inlineStr">
        <is>
          <t>text/plain</t>
        </is>
      </c>
      <c r="F20" s="6" t="inlineStr">
        <is>
          <t>Bearer &lt;JWT_TOKEN&gt;</t>
        </is>
      </c>
      <c r="G20" s="6" t="inlineStr">
        <is>
          <t>Y</t>
        </is>
      </c>
      <c r="H20" s="6" t="n">
        <v>2</v>
      </c>
    </row>
    <row r="21">
      <c r="A21" s="6" t="inlineStr">
        <is>
          <t>REQ-00020</t>
        </is>
      </c>
      <c r="B21" s="6" t="inlineStr">
        <is>
          <t>31608230000020</t>
        </is>
      </c>
      <c r="C21" s="6" t="inlineStr">
        <is>
          <t>847dbb0e-b66b-41c0-b403-75ca9ecdc286</t>
        </is>
      </c>
      <c r="D21" s="7" t="n">
        <v>45936.93194444444</v>
      </c>
      <c r="E21" s="6" t="inlineStr">
        <is>
          <t>text/plain</t>
        </is>
      </c>
      <c r="F21" s="6" t="inlineStr">
        <is>
          <t>Bearer &lt;JWT_TOKEN&gt;</t>
        </is>
      </c>
      <c r="G21" s="6" t="inlineStr">
        <is>
          <t>Y</t>
        </is>
      </c>
      <c r="H21" s="6" t="n">
        <v>2</v>
      </c>
    </row>
    <row r="22">
      <c r="A22" s="6" t="inlineStr">
        <is>
          <t>REQ-00021</t>
        </is>
      </c>
      <c r="B22" s="6" t="inlineStr">
        <is>
          <t>31608230000021</t>
        </is>
      </c>
      <c r="C22" s="6" t="inlineStr">
        <is>
          <t>cc2c80ef-e1cd-4a3f-a6fe-9aad3850ab1b</t>
        </is>
      </c>
      <c r="D22" s="7" t="n">
        <v>45937.79930555556</v>
      </c>
      <c r="E22" s="6" t="inlineStr">
        <is>
          <t>text/plain</t>
        </is>
      </c>
      <c r="F22" s="6" t="inlineStr">
        <is>
          <t>Bearer &lt;JWT_TOKEN&gt;</t>
        </is>
      </c>
      <c r="G22" s="6" t="inlineStr">
        <is>
          <t>Y</t>
        </is>
      </c>
      <c r="H22" s="6" t="n">
        <v>2</v>
      </c>
    </row>
    <row r="23">
      <c r="A23" s="6" t="inlineStr">
        <is>
          <t>REQ-00022</t>
        </is>
      </c>
      <c r="B23" s="6" t="inlineStr">
        <is>
          <t>31608230000022</t>
        </is>
      </c>
      <c r="C23" s="6" t="inlineStr">
        <is>
          <t>c448c5ea-5f48-4c6a-bd8f-92d098983753</t>
        </is>
      </c>
      <c r="D23" s="7" t="n">
        <v>45937.11805555555</v>
      </c>
      <c r="E23" s="6" t="inlineStr">
        <is>
          <t>text/plain</t>
        </is>
      </c>
      <c r="F23" s="6" t="inlineStr">
        <is>
          <t>Bearer &lt;JWT_TOKEN&gt;</t>
        </is>
      </c>
      <c r="G23" s="6" t="inlineStr">
        <is>
          <t>Y</t>
        </is>
      </c>
      <c r="H23" s="6" t="n">
        <v>1</v>
      </c>
    </row>
    <row r="24">
      <c r="A24" s="6" t="inlineStr">
        <is>
          <t>REQ-00023</t>
        </is>
      </c>
      <c r="B24" s="6" t="inlineStr">
        <is>
          <t>31608230000023</t>
        </is>
      </c>
      <c r="C24" s="6" t="inlineStr">
        <is>
          <t>cf64d3e6-8e1a-4394-9bf7-a06993c80807</t>
        </is>
      </c>
      <c r="D24" s="7" t="n">
        <v>45938.70347222222</v>
      </c>
      <c r="E24" s="6" t="inlineStr">
        <is>
          <t>text/plain</t>
        </is>
      </c>
      <c r="F24" s="6" t="inlineStr">
        <is>
          <t>Bearer &lt;JWT_TOKEN&gt;</t>
        </is>
      </c>
      <c r="G24" s="6" t="inlineStr">
        <is>
          <t>Y</t>
        </is>
      </c>
      <c r="H24" s="6" t="n">
        <v>1</v>
      </c>
    </row>
    <row r="25">
      <c r="A25" s="6" t="inlineStr">
        <is>
          <t>REQ-00024</t>
        </is>
      </c>
      <c r="B25" s="6" t="inlineStr">
        <is>
          <t>31608230000024</t>
        </is>
      </c>
      <c r="C25" s="6" t="inlineStr">
        <is>
          <t>fd508175-47e4-4db9-9acc-f5b2c60a8ea5</t>
        </is>
      </c>
      <c r="D25" s="7" t="n">
        <v>45953.34375</v>
      </c>
      <c r="E25" s="6" t="inlineStr">
        <is>
          <t>text/plain</t>
        </is>
      </c>
      <c r="F25" s="6" t="inlineStr">
        <is>
          <t>Bearer &lt;JWT_TOKEN&gt;</t>
        </is>
      </c>
      <c r="G25" s="6" t="inlineStr">
        <is>
          <t>Y</t>
        </is>
      </c>
      <c r="H25" s="6" t="n">
        <v>3</v>
      </c>
    </row>
    <row r="26">
      <c r="A26" s="6" t="inlineStr">
        <is>
          <t>REQ-00025</t>
        </is>
      </c>
      <c r="B26" s="6" t="inlineStr">
        <is>
          <t>31608230000025</t>
        </is>
      </c>
      <c r="C26" s="6" t="inlineStr">
        <is>
          <t>e6020150-28c4-4133-b8bf-8b84494d3c11</t>
        </is>
      </c>
      <c r="D26" s="7" t="n">
        <v>45946.82777777778</v>
      </c>
      <c r="E26" s="6" t="inlineStr">
        <is>
          <t>text/plain</t>
        </is>
      </c>
      <c r="F26" s="6" t="inlineStr">
        <is>
          <t>Bearer &lt;JWT_TOKEN&gt;</t>
        </is>
      </c>
      <c r="G26" s="6" t="inlineStr">
        <is>
          <t>Y</t>
        </is>
      </c>
      <c r="H26" s="6" t="n">
        <v>3</v>
      </c>
    </row>
    <row r="27">
      <c r="A27" s="6" t="inlineStr">
        <is>
          <t>REQ-00026</t>
        </is>
      </c>
      <c r="B27" s="6" t="inlineStr">
        <is>
          <t>31608230000026</t>
        </is>
      </c>
      <c r="C27" s="6" t="inlineStr">
        <is>
          <t>0c3b8a7e-84e0-4bf7-90b1-90943ee41090</t>
        </is>
      </c>
      <c r="D27" s="7" t="n">
        <v>45958.70486111111</v>
      </c>
      <c r="E27" s="6" t="inlineStr">
        <is>
          <t>text/plain</t>
        </is>
      </c>
      <c r="F27" s="6" t="inlineStr">
        <is>
          <t>Bearer &lt;JWT_TOKEN&gt;</t>
        </is>
      </c>
      <c r="G27" s="6" t="inlineStr">
        <is>
          <t>Y</t>
        </is>
      </c>
      <c r="H27" s="6" t="n">
        <v>1</v>
      </c>
    </row>
    <row r="28">
      <c r="A28" s="6" t="inlineStr">
        <is>
          <t>REQ-00027</t>
        </is>
      </c>
      <c r="B28" s="6" t="inlineStr">
        <is>
          <t>31608230000027</t>
        </is>
      </c>
      <c r="C28" s="6" t="inlineStr">
        <is>
          <t>4ad56b6f-7e0f-4744-a89a-aed047152451</t>
        </is>
      </c>
      <c r="D28" s="7" t="n">
        <v>45943.64166666667</v>
      </c>
      <c r="E28" s="6" t="inlineStr">
        <is>
          <t>text/plain</t>
        </is>
      </c>
      <c r="F28" s="6" t="inlineStr">
        <is>
          <t>Bearer &lt;JWT_TOKEN&gt;</t>
        </is>
      </c>
      <c r="G28" s="6" t="inlineStr">
        <is>
          <t>Y</t>
        </is>
      </c>
      <c r="H28" s="6" t="n">
        <v>3</v>
      </c>
    </row>
    <row r="29">
      <c r="A29" s="6" t="inlineStr">
        <is>
          <t>REQ-00028</t>
        </is>
      </c>
      <c r="B29" s="6" t="inlineStr">
        <is>
          <t>31608230000028</t>
        </is>
      </c>
      <c r="C29" s="6" t="inlineStr">
        <is>
          <t>e15f19c7-2369-41e3-a3b6-5ec3f50b7c2f</t>
        </is>
      </c>
      <c r="D29" s="7" t="n">
        <v>45941.08958333333</v>
      </c>
      <c r="E29" s="6" t="inlineStr">
        <is>
          <t>text/plain</t>
        </is>
      </c>
      <c r="F29" s="6" t="inlineStr">
        <is>
          <t>Bearer &lt;JWT_TOKEN&gt;</t>
        </is>
      </c>
      <c r="G29" s="6" t="inlineStr">
        <is>
          <t>Y</t>
        </is>
      </c>
      <c r="H29" s="6" t="n">
        <v>2</v>
      </c>
    </row>
    <row r="30">
      <c r="A30" s="6" t="inlineStr">
        <is>
          <t>REQ-00029</t>
        </is>
      </c>
      <c r="B30" s="6" t="inlineStr">
        <is>
          <t>31608230000029</t>
        </is>
      </c>
      <c r="C30" s="6" t="inlineStr">
        <is>
          <t>47f45dd2-b53d-45e3-8eed-29c832f5cb8b</t>
        </is>
      </c>
      <c r="D30" s="7" t="n">
        <v>45937.14861111111</v>
      </c>
      <c r="E30" s="6" t="inlineStr">
        <is>
          <t>text/plain</t>
        </is>
      </c>
      <c r="F30" s="6" t="inlineStr">
        <is>
          <t>Bearer &lt;JWT_TOKEN&gt;</t>
        </is>
      </c>
      <c r="G30" s="6" t="inlineStr">
        <is>
          <t>Y</t>
        </is>
      </c>
      <c r="H30" s="6" t="n">
        <v>2</v>
      </c>
    </row>
    <row r="31">
      <c r="A31" s="6" t="inlineStr">
        <is>
          <t>REQ-00030</t>
        </is>
      </c>
      <c r="B31" s="6" t="inlineStr">
        <is>
          <t>31608230000030</t>
        </is>
      </c>
      <c r="C31" s="6" t="inlineStr">
        <is>
          <t>38c47fb7-350b-4e16-bd31-1c77d36f369d</t>
        </is>
      </c>
      <c r="D31" s="7" t="n">
        <v>45935.00625</v>
      </c>
      <c r="E31" s="6" t="inlineStr">
        <is>
          <t>text/plain</t>
        </is>
      </c>
      <c r="F31" s="6" t="inlineStr">
        <is>
          <t>Bearer &lt;JWT_TOKEN&gt;</t>
        </is>
      </c>
      <c r="G31" s="6" t="inlineStr">
        <is>
          <t>Y</t>
        </is>
      </c>
      <c r="H31" s="6" t="n">
        <v>1</v>
      </c>
    </row>
  </sheetData>
  <autoFilter ref="A1:H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13" customWidth="1" min="4" max="4"/>
    <col width="25" customWidth="1" min="5" max="5"/>
    <col width="13" customWidth="1" min="6" max="6"/>
    <col width="21" customWidth="1" min="7" max="7"/>
    <col width="9" customWidth="1" min="8" max="8"/>
    <col width="22" customWidth="1" min="9" max="9"/>
    <col width="17" customWidth="1" min="10" max="10"/>
    <col width="13" customWidth="1" min="11" max="11"/>
    <col width="55" customWidth="1" min="12" max="12"/>
    <col width="14" customWidth="1" min="13" max="13"/>
    <col width="12" customWidth="1" min="14" max="14"/>
    <col width="19" customWidth="1" min="15" max="15"/>
    <col width="16" customWidth="1" min="16" max="16"/>
    <col width="24" customWidth="1" min="17" max="17"/>
    <col width="20" customWidth="1" min="18" max="18"/>
    <col width="16" customWidth="1" min="19" max="19"/>
    <col width="13" customWidth="1" min="20" max="20"/>
  </cols>
  <sheetData>
    <row r="1" ht="22" customHeight="1">
      <c r="A1" s="4" t="inlineStr">
        <is>
          <t>request_id</t>
        </is>
      </c>
      <c r="B1" s="4" t="inlineStr">
        <is>
          <t>acknowledgement_no</t>
        </is>
      </c>
      <c r="C1" s="4" t="inlineStr">
        <is>
          <t>job_id</t>
        </is>
      </c>
      <c r="D1" s="4" t="inlineStr">
        <is>
          <t>incident_id</t>
        </is>
      </c>
      <c r="E1" s="4" t="inlineStr">
        <is>
          <t>root_rrn_transaction_id</t>
        </is>
      </c>
      <c r="F1" s="4" t="inlineStr">
        <is>
          <t>root_bankid</t>
        </is>
      </c>
      <c r="G1" s="4" t="inlineStr">
        <is>
          <t>root_account_number</t>
        </is>
      </c>
      <c r="H1" s="4" t="inlineStr">
        <is>
          <t>amount</t>
        </is>
      </c>
      <c r="I1" s="4" t="inlineStr">
        <is>
          <t>transaction_datetime</t>
        </is>
      </c>
      <c r="J1" s="4" t="inlineStr">
        <is>
          <t>disputed_amount</t>
        </is>
      </c>
      <c r="K1" s="4" t="inlineStr">
        <is>
          <t>status_code</t>
        </is>
      </c>
      <c r="L1" s="4" t="inlineStr">
        <is>
          <t>remarks</t>
        </is>
      </c>
      <c r="M1" s="4" t="inlineStr">
        <is>
          <t>phone_number</t>
        </is>
      </c>
      <c r="N1" s="4" t="inlineStr">
        <is>
          <t>pan_number</t>
        </is>
      </c>
      <c r="O1" s="4" t="inlineStr">
        <is>
          <t>email</t>
        </is>
      </c>
      <c r="P1" s="4" t="inlineStr">
        <is>
          <t>root_ifsc_code</t>
        </is>
      </c>
      <c r="Q1" s="4" t="inlineStr">
        <is>
          <t>root_effective_balance</t>
        </is>
      </c>
      <c r="R1" s="4" t="inlineStr">
        <is>
          <t>negative_lien_flag</t>
        </is>
      </c>
      <c r="S1" s="4" t="inlineStr">
        <is>
          <t>hold_reference</t>
        </is>
      </c>
      <c r="T1" s="4" t="inlineStr">
        <is>
          <t>held_amount</t>
        </is>
      </c>
    </row>
    <row r="2">
      <c r="A2" s="6" t="inlineStr">
        <is>
          <t>REQ-00001</t>
        </is>
      </c>
      <c r="B2" s="6" t="inlineStr">
        <is>
          <t>31608230000001</t>
        </is>
      </c>
      <c r="C2" s="6" t="inlineStr">
        <is>
          <t>a809e351-37a8-4017-9977-dc4d0e60ec7b</t>
        </is>
      </c>
      <c r="D2" s="6" t="inlineStr">
        <is>
          <t>INC-0001-01</t>
        </is>
      </c>
      <c r="E2" s="6" t="inlineStr">
        <is>
          <t>2475107991183</t>
        </is>
      </c>
      <c r="F2" s="6" t="n">
        <v>8</v>
      </c>
      <c r="G2" s="6" t="inlineStr">
        <is>
          <t>49808412411824</t>
        </is>
      </c>
      <c r="H2" s="8" t="n">
        <v>1250.27</v>
      </c>
      <c r="I2" s="6" t="inlineStr">
        <is>
          <t>2025-10-14 02:35:00</t>
        </is>
      </c>
      <c r="J2" s="8" t="n">
        <v>1250.27</v>
      </c>
      <c r="K2" s="6" t="inlineStr">
        <is>
          <t>20010</t>
        </is>
      </c>
      <c r="L2" s="6" t="inlineStr">
        <is>
          <t>Balance not available; negative lien marked</t>
        </is>
      </c>
      <c r="M2" s="6" t="inlineStr">
        <is>
          <t>9869232260</t>
        </is>
      </c>
      <c r="N2" s="6" t="inlineStr">
        <is>
          <t>FXKZN3421M</t>
        </is>
      </c>
      <c r="O2" s="6" t="inlineStr">
        <is>
          <t>cust0733@mail.com</t>
        </is>
      </c>
      <c r="P2" s="6" t="inlineStr">
        <is>
          <t>YESB0354278</t>
        </is>
      </c>
      <c r="Q2" s="8" t="n">
        <v>3991.23</v>
      </c>
      <c r="R2" s="6" t="inlineStr">
        <is>
          <t>Y</t>
        </is>
      </c>
      <c r="S2" s="6" t="inlineStr"/>
      <c r="T2" s="8" t="n">
        <v>0</v>
      </c>
    </row>
    <row r="3">
      <c r="A3" s="6" t="inlineStr">
        <is>
          <t>REQ-00001</t>
        </is>
      </c>
      <c r="B3" s="6" t="inlineStr">
        <is>
          <t>31608230000001</t>
        </is>
      </c>
      <c r="C3" s="6" t="inlineStr">
        <is>
          <t>a809e351-37a8-4017-9977-dc4d0e60ec7b</t>
        </is>
      </c>
      <c r="D3" s="6" t="inlineStr">
        <is>
          <t>INC-0001-02</t>
        </is>
      </c>
      <c r="E3" s="6" t="inlineStr">
        <is>
          <t>4935348740164</t>
        </is>
      </c>
      <c r="F3" s="6" t="n">
        <v>12</v>
      </c>
      <c r="G3" s="6" t="inlineStr">
        <is>
          <t>11280598262045</t>
        </is>
      </c>
      <c r="H3" s="8" t="n">
        <v>35</v>
      </c>
      <c r="I3" s="6" t="inlineStr">
        <is>
          <t>2025-10-14 03:37:00</t>
        </is>
      </c>
      <c r="J3" s="8" t="n">
        <v>35</v>
      </c>
      <c r="K3" s="6" t="inlineStr">
        <is>
          <t>20010</t>
        </is>
      </c>
      <c r="L3" s="6" t="inlineStr">
        <is>
          <t>Balance not available; negative lien marked</t>
        </is>
      </c>
      <c r="M3" s="6" t="inlineStr">
        <is>
          <t>0000000000</t>
        </is>
      </c>
      <c r="N3" s="6" t="inlineStr">
        <is>
          <t>layer 0</t>
        </is>
      </c>
      <c r="O3" s="6" t="inlineStr">
        <is>
          <t>layer 0</t>
        </is>
      </c>
      <c r="P3" s="6" t="inlineStr">
        <is>
          <t>layer 0</t>
        </is>
      </c>
      <c r="Q3" s="8" t="n">
        <v>0</v>
      </c>
      <c r="R3" s="6" t="inlineStr">
        <is>
          <t>Y</t>
        </is>
      </c>
      <c r="S3" s="6" t="inlineStr"/>
      <c r="T3" s="8" t="n">
        <v>0</v>
      </c>
    </row>
    <row r="4">
      <c r="A4" s="6" t="inlineStr">
        <is>
          <t>REQ-00002</t>
        </is>
      </c>
      <c r="B4" s="6" t="inlineStr">
        <is>
          <t>31608230000002</t>
        </is>
      </c>
      <c r="C4" s="6" t="inlineStr">
        <is>
          <t>dc8ac3a9-c97b-4688-a12b-989696a01ca5</t>
        </is>
      </c>
      <c r="D4" s="6" t="inlineStr">
        <is>
          <t>INC-0002-01</t>
        </is>
      </c>
      <c r="E4" s="6" t="inlineStr">
        <is>
          <t>3406088356159</t>
        </is>
      </c>
      <c r="F4" s="6" t="n">
        <v>12</v>
      </c>
      <c r="G4" s="6" t="inlineStr">
        <is>
          <t>82366299468044</t>
        </is>
      </c>
      <c r="H4" s="8" t="n">
        <v>250.66</v>
      </c>
      <c r="I4" s="6" t="inlineStr">
        <is>
          <t>2025-10-19 22:36:00</t>
        </is>
      </c>
      <c r="J4" s="8" t="n">
        <v>250.66</v>
      </c>
      <c r="K4" s="6" t="inlineStr">
        <is>
          <t>20000</t>
        </is>
      </c>
      <c r="L4" s="6" t="inlineStr">
        <is>
          <t>Hold placed successfully</t>
        </is>
      </c>
      <c r="M4" s="6" t="inlineStr">
        <is>
          <t>0000000000</t>
        </is>
      </c>
      <c r="N4" s="6" t="inlineStr">
        <is>
          <t>layer 0</t>
        </is>
      </c>
      <c r="O4" s="6" t="inlineStr">
        <is>
          <t>layer 0</t>
        </is>
      </c>
      <c r="P4" s="6" t="inlineStr">
        <is>
          <t>layer 0</t>
        </is>
      </c>
      <c r="Q4" s="8" t="n">
        <v>0</v>
      </c>
      <c r="R4" s="6" t="inlineStr">
        <is>
          <t>N</t>
        </is>
      </c>
      <c r="S4" s="6" t="inlineStr">
        <is>
          <t>LIEN6231665876</t>
        </is>
      </c>
      <c r="T4" s="8" t="n">
        <v>250.66</v>
      </c>
    </row>
    <row r="5">
      <c r="A5" s="6" t="inlineStr">
        <is>
          <t>REQ-00002</t>
        </is>
      </c>
      <c r="B5" s="6" t="inlineStr">
        <is>
          <t>31608230000002</t>
        </is>
      </c>
      <c r="C5" s="6" t="inlineStr">
        <is>
          <t>dc8ac3a9-c97b-4688-a12b-989696a01ca5</t>
        </is>
      </c>
      <c r="D5" s="6" t="inlineStr">
        <is>
          <t>INC-0002-02</t>
        </is>
      </c>
      <c r="E5" s="6" t="inlineStr">
        <is>
          <t>3699577738721</t>
        </is>
      </c>
      <c r="F5" s="6" t="n">
        <v>13</v>
      </c>
      <c r="G5" s="6" t="inlineStr">
        <is>
          <t>00379176936763</t>
        </is>
      </c>
      <c r="H5" s="8" t="n">
        <v>250.52</v>
      </c>
      <c r="I5" s="6" t="inlineStr">
        <is>
          <t>2025-10-19 23:02:00</t>
        </is>
      </c>
      <c r="J5" s="8" t="n">
        <v>250.52</v>
      </c>
      <c r="K5" s="6" t="inlineStr">
        <is>
          <t>20000</t>
        </is>
      </c>
      <c r="L5" s="6" t="inlineStr">
        <is>
          <t>Hold placed successfully</t>
        </is>
      </c>
      <c r="M5" s="6" t="inlineStr">
        <is>
          <t>9656272980</t>
        </is>
      </c>
      <c r="N5" s="6" t="inlineStr">
        <is>
          <t>MSSVA1627F</t>
        </is>
      </c>
      <c r="O5" s="6" t="inlineStr">
        <is>
          <t>cust0465@mail.com</t>
        </is>
      </c>
      <c r="P5" s="6" t="inlineStr">
        <is>
          <t>UBIN0134332</t>
        </is>
      </c>
      <c r="Q5" s="8" t="n">
        <v>664.13</v>
      </c>
      <c r="R5" s="6" t="inlineStr">
        <is>
          <t>N</t>
        </is>
      </c>
      <c r="S5" s="6" t="inlineStr">
        <is>
          <t>LIEN6690967054</t>
        </is>
      </c>
      <c r="T5" s="8" t="n">
        <v>250.52</v>
      </c>
    </row>
    <row r="6">
      <c r="A6" s="6" t="inlineStr">
        <is>
          <t>REQ-00002</t>
        </is>
      </c>
      <c r="B6" s="6" t="inlineStr">
        <is>
          <t>31608230000002</t>
        </is>
      </c>
      <c r="C6" s="6" t="inlineStr">
        <is>
          <t>dc8ac3a9-c97b-4688-a12b-989696a01ca5</t>
        </is>
      </c>
      <c r="D6" s="6" t="inlineStr">
        <is>
          <t>INC-0002-03</t>
        </is>
      </c>
      <c r="E6" s="6" t="inlineStr">
        <is>
          <t>2016328708317</t>
        </is>
      </c>
      <c r="F6" s="6" t="n">
        <v>13</v>
      </c>
      <c r="G6" s="6" t="inlineStr">
        <is>
          <t>27743487347143</t>
        </is>
      </c>
      <c r="H6" s="8" t="n">
        <v>99.8</v>
      </c>
      <c r="I6" s="6" t="inlineStr">
        <is>
          <t>2025-10-19 23:25:00</t>
        </is>
      </c>
      <c r="J6" s="8" t="n">
        <v>99.8</v>
      </c>
      <c r="K6" s="6" t="inlineStr">
        <is>
          <t>20000</t>
        </is>
      </c>
      <c r="L6" s="6" t="inlineStr">
        <is>
          <t>Hold placed successfully</t>
        </is>
      </c>
      <c r="M6" s="6" t="inlineStr">
        <is>
          <t>9556464170</t>
        </is>
      </c>
      <c r="N6" s="6" t="inlineStr">
        <is>
          <t>XRBLH1003G</t>
        </is>
      </c>
      <c r="O6" s="6" t="inlineStr">
        <is>
          <t>cust0923@mail.com</t>
        </is>
      </c>
      <c r="P6" s="6" t="inlineStr">
        <is>
          <t>UBIN0798687</t>
        </is>
      </c>
      <c r="Q6" s="8" t="n">
        <v>194.22</v>
      </c>
      <c r="R6" s="6" t="inlineStr">
        <is>
          <t>N</t>
        </is>
      </c>
      <c r="S6" s="6" t="inlineStr">
        <is>
          <t>LIEN6889373467</t>
        </is>
      </c>
      <c r="T6" s="8" t="n">
        <v>99.8</v>
      </c>
    </row>
    <row r="7">
      <c r="A7" s="6" t="inlineStr">
        <is>
          <t>REQ-00003</t>
        </is>
      </c>
      <c r="B7" s="6" t="inlineStr">
        <is>
          <t>31608230000003</t>
        </is>
      </c>
      <c r="C7" s="6" t="inlineStr">
        <is>
          <t>a7cd9031-8026-4865-a5bf-503cb85d456b</t>
        </is>
      </c>
      <c r="D7" s="6" t="inlineStr">
        <is>
          <t>INC-0003-01</t>
        </is>
      </c>
      <c r="E7" s="6" t="inlineStr">
        <is>
          <t>0671657262849</t>
        </is>
      </c>
      <c r="F7" s="6" t="n">
        <v>14</v>
      </c>
      <c r="G7" s="6" t="inlineStr">
        <is>
          <t>73799650752735</t>
        </is>
      </c>
      <c r="H7" s="8" t="n">
        <v>9999.92</v>
      </c>
      <c r="I7" s="6" t="inlineStr">
        <is>
          <t>2025-10-25 20:21:00</t>
        </is>
      </c>
      <c r="J7" s="8" t="n">
        <v>9999.92</v>
      </c>
      <c r="K7" s="6" t="inlineStr">
        <is>
          <t>20000</t>
        </is>
      </c>
      <c r="L7" s="6" t="inlineStr">
        <is>
          <t>Hold placed successfully</t>
        </is>
      </c>
      <c r="M7" s="6" t="inlineStr">
        <is>
          <t>9084271094</t>
        </is>
      </c>
      <c r="N7" s="6" t="inlineStr">
        <is>
          <t>PPOKF0471C</t>
        </is>
      </c>
      <c r="O7" s="6" t="inlineStr">
        <is>
          <t>cust6719@mail.com</t>
        </is>
      </c>
      <c r="P7" s="6" t="inlineStr">
        <is>
          <t>UCBA0945314</t>
        </is>
      </c>
      <c r="Q7" s="8" t="n">
        <v>2961.95</v>
      </c>
      <c r="R7" s="6" t="inlineStr">
        <is>
          <t>N</t>
        </is>
      </c>
      <c r="S7" s="6" t="inlineStr">
        <is>
          <t>LIEN8233749894</t>
        </is>
      </c>
      <c r="T7" s="8" t="n">
        <v>9999.92</v>
      </c>
    </row>
    <row r="8">
      <c r="A8" s="6" t="inlineStr">
        <is>
          <t>REQ-00003</t>
        </is>
      </c>
      <c r="B8" s="6" t="inlineStr">
        <is>
          <t>31608230000003</t>
        </is>
      </c>
      <c r="C8" s="6" t="inlineStr">
        <is>
          <t>a7cd9031-8026-4865-a5bf-503cb85d456b</t>
        </is>
      </c>
      <c r="D8" s="6" t="inlineStr">
        <is>
          <t>INC-0003-02</t>
        </is>
      </c>
      <c r="E8" s="6" t="inlineStr">
        <is>
          <t>4549480831367</t>
        </is>
      </c>
      <c r="F8" s="6" t="n">
        <v>36</v>
      </c>
      <c r="G8" s="6" t="inlineStr">
        <is>
          <t>34957885685574</t>
        </is>
      </c>
      <c r="H8" s="8" t="n">
        <v>1250.76</v>
      </c>
      <c r="I8" s="6" t="inlineStr">
        <is>
          <t>2025-10-25 20:19:00</t>
        </is>
      </c>
      <c r="J8" s="8" t="n">
        <v>1250.76</v>
      </c>
      <c r="K8" s="6" t="inlineStr">
        <is>
          <t>20000</t>
        </is>
      </c>
      <c r="L8" s="6" t="inlineStr">
        <is>
          <t>Hold placed successfully</t>
        </is>
      </c>
      <c r="M8" s="6" t="inlineStr">
        <is>
          <t>9022941318</t>
        </is>
      </c>
      <c r="N8" s="6" t="inlineStr">
        <is>
          <t>YNTTZ9386O</t>
        </is>
      </c>
      <c r="O8" s="6" t="inlineStr">
        <is>
          <t>cust7496@mail.com</t>
        </is>
      </c>
      <c r="P8" s="6" t="inlineStr">
        <is>
          <t>VARA0701436</t>
        </is>
      </c>
      <c r="Q8" s="8" t="n">
        <v>1179.59</v>
      </c>
      <c r="R8" s="6" t="inlineStr">
        <is>
          <t>N</t>
        </is>
      </c>
      <c r="S8" s="6" t="inlineStr">
        <is>
          <t>LIEN3435240824</t>
        </is>
      </c>
      <c r="T8" s="8" t="n">
        <v>1250.76</v>
      </c>
    </row>
    <row r="9">
      <c r="A9" s="6" t="inlineStr">
        <is>
          <t>REQ-00004</t>
        </is>
      </c>
      <c r="B9" s="6" t="inlineStr">
        <is>
          <t>31608230000004</t>
        </is>
      </c>
      <c r="C9" s="6" t="inlineStr">
        <is>
          <t>260f5953-5ef8-4b0a-9ad0-aa82d14417c5</t>
        </is>
      </c>
      <c r="D9" s="6" t="inlineStr">
        <is>
          <t>INC-0004-01</t>
        </is>
      </c>
      <c r="E9" s="6" t="inlineStr">
        <is>
          <t>3242102499471</t>
        </is>
      </c>
      <c r="F9" s="6" t="n">
        <v>12</v>
      </c>
      <c r="G9" s="6" t="inlineStr">
        <is>
          <t>06594013990490</t>
        </is>
      </c>
      <c r="H9" s="8" t="n">
        <v>500.69</v>
      </c>
      <c r="I9" s="6" t="inlineStr">
        <is>
          <t>2025-10-06 20:52:00</t>
        </is>
      </c>
      <c r="J9" s="8" t="n">
        <v>500.69</v>
      </c>
      <c r="K9" s="6" t="inlineStr">
        <is>
          <t>20005</t>
        </is>
      </c>
      <c r="L9" s="6" t="inlineStr">
        <is>
          <t>Partial hold due to insufficient balance</t>
        </is>
      </c>
      <c r="M9" s="6" t="inlineStr">
        <is>
          <t>9627028951</t>
        </is>
      </c>
      <c r="N9" s="6" t="inlineStr">
        <is>
          <t>ODQOA2621P</t>
        </is>
      </c>
      <c r="O9" s="6" t="inlineStr">
        <is>
          <t>cust4596@mail.com</t>
        </is>
      </c>
      <c r="P9" s="6" t="inlineStr">
        <is>
          <t>CNRB0887719</t>
        </is>
      </c>
      <c r="Q9" s="8" t="n">
        <v>3074.1</v>
      </c>
      <c r="R9" s="6" t="inlineStr">
        <is>
          <t>N</t>
        </is>
      </c>
      <c r="S9" s="6" t="inlineStr">
        <is>
          <t>LIEN2146584044</t>
        </is>
      </c>
      <c r="T9" s="8" t="n">
        <v>324.33</v>
      </c>
    </row>
    <row r="10">
      <c r="A10" s="6" t="inlineStr">
        <is>
          <t>REQ-00004</t>
        </is>
      </c>
      <c r="B10" s="6" t="inlineStr">
        <is>
          <t>31608230000004</t>
        </is>
      </c>
      <c r="C10" s="6" t="inlineStr">
        <is>
          <t>260f5953-5ef8-4b0a-9ad0-aa82d14417c5</t>
        </is>
      </c>
      <c r="D10" s="6" t="inlineStr">
        <is>
          <t>INC-0004-02</t>
        </is>
      </c>
      <c r="E10" s="6" t="inlineStr">
        <is>
          <t>2787429671756</t>
        </is>
      </c>
      <c r="F10" s="6" t="n">
        <v>9</v>
      </c>
      <c r="G10" s="6" t="inlineStr">
        <is>
          <t>07154516808760</t>
        </is>
      </c>
      <c r="H10" s="8" t="n">
        <v>250.32</v>
      </c>
      <c r="I10" s="6" t="inlineStr">
        <is>
          <t>2025-10-06 18:56:00</t>
        </is>
      </c>
      <c r="J10" s="8" t="n">
        <v>250.32</v>
      </c>
      <c r="K10" s="6" t="inlineStr">
        <is>
          <t>20005</t>
        </is>
      </c>
      <c r="L10" s="6" t="inlineStr">
        <is>
          <t>Partial hold due to insufficient balance</t>
        </is>
      </c>
      <c r="M10" s="6" t="inlineStr">
        <is>
          <t>0000000000</t>
        </is>
      </c>
      <c r="N10" s="6" t="inlineStr">
        <is>
          <t>layer 0</t>
        </is>
      </c>
      <c r="O10" s="6" t="inlineStr">
        <is>
          <t>layer 0</t>
        </is>
      </c>
      <c r="P10" s="6" t="inlineStr">
        <is>
          <t>layer 0</t>
        </is>
      </c>
      <c r="Q10" s="8" t="n">
        <v>0</v>
      </c>
      <c r="R10" s="6" t="inlineStr">
        <is>
          <t>N</t>
        </is>
      </c>
      <c r="S10" s="6" t="inlineStr">
        <is>
          <t>LIEN9727875588</t>
        </is>
      </c>
      <c r="T10" s="8" t="n">
        <v>175.85</v>
      </c>
    </row>
    <row r="11">
      <c r="A11" s="6" t="inlineStr">
        <is>
          <t>REQ-00004</t>
        </is>
      </c>
      <c r="B11" s="6" t="inlineStr">
        <is>
          <t>31608230000004</t>
        </is>
      </c>
      <c r="C11" s="6" t="inlineStr">
        <is>
          <t>260f5953-5ef8-4b0a-9ad0-aa82d14417c5</t>
        </is>
      </c>
      <c r="D11" s="6" t="inlineStr">
        <is>
          <t>INC-0004-03</t>
        </is>
      </c>
      <c r="E11" s="6" t="inlineStr">
        <is>
          <t>3859770348247</t>
        </is>
      </c>
      <c r="F11" s="6" t="n">
        <v>11</v>
      </c>
      <c r="G11" s="6" t="inlineStr">
        <is>
          <t>13171274846773</t>
        </is>
      </c>
      <c r="H11" s="8" t="n">
        <v>4999.48</v>
      </c>
      <c r="I11" s="6" t="inlineStr">
        <is>
          <t>2025-10-06 19:54:00</t>
        </is>
      </c>
      <c r="J11" s="8" t="n">
        <v>4999.48</v>
      </c>
      <c r="K11" s="6" t="inlineStr">
        <is>
          <t>20005</t>
        </is>
      </c>
      <c r="L11" s="6" t="inlineStr">
        <is>
          <t>Partial hold due to insufficient balance</t>
        </is>
      </c>
      <c r="M11" s="6" t="inlineStr">
        <is>
          <t>0000000000</t>
        </is>
      </c>
      <c r="N11" s="6" t="inlineStr">
        <is>
          <t>layer 0</t>
        </is>
      </c>
      <c r="O11" s="6" t="inlineStr">
        <is>
          <t>layer 0</t>
        </is>
      </c>
      <c r="P11" s="6" t="inlineStr">
        <is>
          <t>layer 0</t>
        </is>
      </c>
      <c r="Q11" s="8" t="n">
        <v>0</v>
      </c>
      <c r="R11" s="6" t="inlineStr">
        <is>
          <t>N</t>
        </is>
      </c>
      <c r="S11" s="6" t="inlineStr">
        <is>
          <t>LIEN5339636057</t>
        </is>
      </c>
      <c r="T11" s="8" t="n">
        <v>2131.41</v>
      </c>
    </row>
    <row r="12">
      <c r="A12" s="6" t="inlineStr">
        <is>
          <t>REQ-00005</t>
        </is>
      </c>
      <c r="B12" s="6" t="inlineStr">
        <is>
          <t>31608230000005</t>
        </is>
      </c>
      <c r="C12" s="6" t="inlineStr">
        <is>
          <t>b84e9000-babf-4700-b34e-ccc2ca1554ce</t>
        </is>
      </c>
      <c r="D12" s="6" t="inlineStr">
        <is>
          <t>INC-0005-01</t>
        </is>
      </c>
      <c r="E12" s="6" t="inlineStr">
        <is>
          <t>9222196937923</t>
        </is>
      </c>
      <c r="F12" s="6" t="n">
        <v>7</v>
      </c>
      <c r="G12" s="6" t="inlineStr">
        <is>
          <t>59464743671369</t>
        </is>
      </c>
      <c r="H12" s="8" t="n">
        <v>500.64</v>
      </c>
      <c r="I12" s="6" t="inlineStr">
        <is>
          <t>2025-10-27 02:40:00</t>
        </is>
      </c>
      <c r="J12" s="8" t="n">
        <v>500.64</v>
      </c>
      <c r="K12" s="6" t="inlineStr">
        <is>
          <t>40001</t>
        </is>
      </c>
      <c r="L12" s="6" t="inlineStr">
        <is>
          <t>Account not found; effective balance was -362.36 (sent as 0 per rule)</t>
        </is>
      </c>
      <c r="M12" s="6" t="inlineStr">
        <is>
          <t>9712368516</t>
        </is>
      </c>
      <c r="N12" s="6" t="inlineStr">
        <is>
          <t>AIRDO5496U</t>
        </is>
      </c>
      <c r="O12" s="6" t="inlineStr">
        <is>
          <t>cust5137@mail.com</t>
        </is>
      </c>
      <c r="P12" s="6" t="inlineStr">
        <is>
          <t>KKBK0748217</t>
        </is>
      </c>
      <c r="Q12" s="8" t="n">
        <v>0</v>
      </c>
      <c r="R12" s="6" t="inlineStr">
        <is>
          <t>N</t>
        </is>
      </c>
      <c r="S12" s="6" t="inlineStr"/>
      <c r="T12" s="8" t="n">
        <v>0</v>
      </c>
    </row>
    <row r="13">
      <c r="A13" s="6" t="inlineStr">
        <is>
          <t>REQ-00005</t>
        </is>
      </c>
      <c r="B13" s="6" t="inlineStr">
        <is>
          <t>31608230000005</t>
        </is>
      </c>
      <c r="C13" s="6" t="inlineStr">
        <is>
          <t>b84e9000-babf-4700-b34e-ccc2ca1554ce</t>
        </is>
      </c>
      <c r="D13" s="6" t="inlineStr">
        <is>
          <t>INC-0005-02</t>
        </is>
      </c>
      <c r="E13" s="6" t="inlineStr">
        <is>
          <t>5944064090974</t>
        </is>
      </c>
      <c r="F13" s="6" t="n">
        <v>11</v>
      </c>
      <c r="G13" s="6" t="inlineStr">
        <is>
          <t>70952145623285</t>
        </is>
      </c>
      <c r="H13" s="8" t="n">
        <v>9999.799999999999</v>
      </c>
      <c r="I13" s="6" t="inlineStr">
        <is>
          <t>2025-10-27 02:49:00</t>
        </is>
      </c>
      <c r="J13" s="8" t="n">
        <v>9999.799999999999</v>
      </c>
      <c r="K13" s="6" t="inlineStr">
        <is>
          <t>40001</t>
        </is>
      </c>
      <c r="L13" s="6" t="inlineStr">
        <is>
          <t>Account not found</t>
        </is>
      </c>
      <c r="M13" s="6" t="inlineStr">
        <is>
          <t>9859317461</t>
        </is>
      </c>
      <c r="N13" s="6" t="inlineStr">
        <is>
          <t>EBBJP1138E</t>
        </is>
      </c>
      <c r="O13" s="6" t="inlineStr">
        <is>
          <t>cust6758@mail.com</t>
        </is>
      </c>
      <c r="P13" s="6" t="inlineStr">
        <is>
          <t>IDFB0942104</t>
        </is>
      </c>
      <c r="Q13" s="8" t="n">
        <v>1805.2</v>
      </c>
      <c r="R13" s="6" t="inlineStr">
        <is>
          <t>N</t>
        </is>
      </c>
      <c r="S13" s="6" t="inlineStr"/>
      <c r="T13" s="8" t="n">
        <v>0</v>
      </c>
    </row>
    <row r="14">
      <c r="A14" s="6" t="inlineStr">
        <is>
          <t>REQ-00006</t>
        </is>
      </c>
      <c r="B14" s="6" t="inlineStr">
        <is>
          <t>31608230000006</t>
        </is>
      </c>
      <c r="C14" s="6" t="inlineStr">
        <is>
          <t>87ad8bc0-8306-4d41-95e4-f3591d26c43f</t>
        </is>
      </c>
      <c r="D14" s="6" t="inlineStr">
        <is>
          <t>INC-0006-01</t>
        </is>
      </c>
      <c r="E14" s="6" t="inlineStr">
        <is>
          <t>2931839335290</t>
        </is>
      </c>
      <c r="F14" s="6" t="n">
        <v>12</v>
      </c>
      <c r="G14" s="6" t="inlineStr">
        <is>
          <t>39502402681177</t>
        </is>
      </c>
      <c r="H14" s="8" t="n">
        <v>250.86</v>
      </c>
      <c r="I14" s="6" t="inlineStr">
        <is>
          <t>2025-10-17 12:52:00</t>
        </is>
      </c>
      <c r="J14" s="8" t="n">
        <v>250.86</v>
      </c>
      <c r="K14" s="6" t="inlineStr">
        <is>
          <t>20000</t>
        </is>
      </c>
      <c r="L14" s="6" t="inlineStr">
        <is>
          <t>Hold placed successfully</t>
        </is>
      </c>
      <c r="M14" s="6" t="inlineStr">
        <is>
          <t>0000000000</t>
        </is>
      </c>
      <c r="N14" s="6" t="inlineStr">
        <is>
          <t>layer 0</t>
        </is>
      </c>
      <c r="O14" s="6" t="inlineStr">
        <is>
          <t>layer 0</t>
        </is>
      </c>
      <c r="P14" s="6" t="inlineStr">
        <is>
          <t>layer 0</t>
        </is>
      </c>
      <c r="Q14" s="8" t="n">
        <v>0</v>
      </c>
      <c r="R14" s="6" t="inlineStr">
        <is>
          <t>N</t>
        </is>
      </c>
      <c r="S14" s="6" t="inlineStr">
        <is>
          <t>LIEN0847007661</t>
        </is>
      </c>
      <c r="T14" s="8" t="n">
        <v>250.86</v>
      </c>
    </row>
    <row r="15">
      <c r="A15" s="6" t="inlineStr">
        <is>
          <t>REQ-00007</t>
        </is>
      </c>
      <c r="B15" s="6" t="inlineStr">
        <is>
          <t>31608230000007</t>
        </is>
      </c>
      <c r="C15" s="6" t="inlineStr">
        <is>
          <t>0797d398-04e1-458f-a273-42c1b0a09584</t>
        </is>
      </c>
      <c r="D15" s="6" t="inlineStr">
        <is>
          <t>INC-0007-01</t>
        </is>
      </c>
      <c r="E15" s="6" t="inlineStr">
        <is>
          <t>5654527111161</t>
        </is>
      </c>
      <c r="F15" s="6" t="n">
        <v>7</v>
      </c>
      <c r="G15" s="6" t="inlineStr">
        <is>
          <t>56049451983273</t>
        </is>
      </c>
      <c r="H15" s="8" t="n">
        <v>4999.74</v>
      </c>
      <c r="I15" s="6" t="inlineStr">
        <is>
          <t>2025-10-21 11:08:00</t>
        </is>
      </c>
      <c r="J15" s="8" t="n">
        <v>4999.74</v>
      </c>
      <c r="K15" s="6" t="inlineStr">
        <is>
          <t>20000</t>
        </is>
      </c>
      <c r="L15" s="6" t="inlineStr">
        <is>
          <t>Hold placed successfully</t>
        </is>
      </c>
      <c r="M15" s="6" t="inlineStr">
        <is>
          <t>0000000000</t>
        </is>
      </c>
      <c r="N15" s="6" t="inlineStr">
        <is>
          <t>layer 0</t>
        </is>
      </c>
      <c r="O15" s="6" t="inlineStr">
        <is>
          <t>layer 0</t>
        </is>
      </c>
      <c r="P15" s="6" t="inlineStr">
        <is>
          <t>layer 0</t>
        </is>
      </c>
      <c r="Q15" s="8" t="n">
        <v>0</v>
      </c>
      <c r="R15" s="6" t="inlineStr">
        <is>
          <t>N</t>
        </is>
      </c>
      <c r="S15" s="6" t="inlineStr">
        <is>
          <t>LIEN8998094024</t>
        </is>
      </c>
      <c r="T15" s="8" t="n">
        <v>4999.74</v>
      </c>
    </row>
    <row r="16">
      <c r="A16" s="6" t="inlineStr">
        <is>
          <t>REQ-00008</t>
        </is>
      </c>
      <c r="B16" s="6" t="inlineStr">
        <is>
          <t>31608230000008</t>
        </is>
      </c>
      <c r="C16" s="6" t="inlineStr">
        <is>
          <t>382fbbbe-527b-4d04-ae9f-ca5e0427223c</t>
        </is>
      </c>
      <c r="D16" s="6" t="inlineStr">
        <is>
          <t>INC-0008-01</t>
        </is>
      </c>
      <c r="E16" s="6" t="inlineStr">
        <is>
          <t>9764381561497</t>
        </is>
      </c>
      <c r="F16" s="6" t="n">
        <v>14</v>
      </c>
      <c r="G16" s="6" t="inlineStr">
        <is>
          <t>24451076226838</t>
        </is>
      </c>
      <c r="H16" s="8" t="n">
        <v>1250.67</v>
      </c>
      <c r="I16" s="6" t="inlineStr">
        <is>
          <t>2025-10-21 21:59:00</t>
        </is>
      </c>
      <c r="J16" s="8" t="n">
        <v>1250.67</v>
      </c>
      <c r="K16" s="6" t="inlineStr">
        <is>
          <t>20000</t>
        </is>
      </c>
      <c r="L16" s="6" t="inlineStr">
        <is>
          <t>Hold placed successfully</t>
        </is>
      </c>
      <c r="M16" s="6" t="inlineStr">
        <is>
          <t>0000000000</t>
        </is>
      </c>
      <c r="N16" s="6" t="inlineStr">
        <is>
          <t>layer 0</t>
        </is>
      </c>
      <c r="O16" s="6" t="inlineStr">
        <is>
          <t>layer 0</t>
        </is>
      </c>
      <c r="P16" s="6" t="inlineStr">
        <is>
          <t>layer 0</t>
        </is>
      </c>
      <c r="Q16" s="8" t="n">
        <v>0</v>
      </c>
      <c r="R16" s="6" t="inlineStr">
        <is>
          <t>N</t>
        </is>
      </c>
      <c r="S16" s="6" t="inlineStr">
        <is>
          <t>LIEN5523124329</t>
        </is>
      </c>
      <c r="T16" s="8" t="n">
        <v>1250.67</v>
      </c>
    </row>
    <row r="17">
      <c r="A17" s="6" t="inlineStr">
        <is>
          <t>REQ-00008</t>
        </is>
      </c>
      <c r="B17" s="6" t="inlineStr">
        <is>
          <t>31608230000008</t>
        </is>
      </c>
      <c r="C17" s="6" t="inlineStr">
        <is>
          <t>382fbbbe-527b-4d04-ae9f-ca5e0427223c</t>
        </is>
      </c>
      <c r="D17" s="6" t="inlineStr">
        <is>
          <t>INC-0008-02</t>
        </is>
      </c>
      <c r="E17" s="6" t="inlineStr">
        <is>
          <t>8516060715969</t>
        </is>
      </c>
      <c r="F17" s="6" t="n">
        <v>8</v>
      </c>
      <c r="G17" s="6" t="inlineStr">
        <is>
          <t>51613696816453</t>
        </is>
      </c>
      <c r="H17" s="8" t="n">
        <v>500.71</v>
      </c>
      <c r="I17" s="6" t="inlineStr">
        <is>
          <t>2025-10-21 21:41:00</t>
        </is>
      </c>
      <c r="J17" s="8" t="n">
        <v>500.71</v>
      </c>
      <c r="K17" s="6" t="inlineStr">
        <is>
          <t>20000</t>
        </is>
      </c>
      <c r="L17" s="6" t="inlineStr">
        <is>
          <t>Hold placed successfully</t>
        </is>
      </c>
      <c r="M17" s="6" t="inlineStr">
        <is>
          <t>9271774490</t>
        </is>
      </c>
      <c r="N17" s="6" t="inlineStr">
        <is>
          <t>LQCJO7005J</t>
        </is>
      </c>
      <c r="O17" s="6" t="inlineStr">
        <is>
          <t>cust1199@mail.com</t>
        </is>
      </c>
      <c r="P17" s="6" t="inlineStr">
        <is>
          <t>YESB0605297</t>
        </is>
      </c>
      <c r="Q17" s="8" t="n">
        <v>2288.87</v>
      </c>
      <c r="R17" s="6" t="inlineStr">
        <is>
          <t>N</t>
        </is>
      </c>
      <c r="S17" s="6" t="inlineStr">
        <is>
          <t>LIEN1277997995</t>
        </is>
      </c>
      <c r="T17" s="8" t="n">
        <v>500.71</v>
      </c>
    </row>
    <row r="18">
      <c r="A18" s="6" t="inlineStr">
        <is>
          <t>REQ-00009</t>
        </is>
      </c>
      <c r="B18" s="6" t="inlineStr">
        <is>
          <t>31608230000009</t>
        </is>
      </c>
      <c r="C18" s="6" t="inlineStr">
        <is>
          <t>8ebca7ef-f7dc-40cd-a99e-7537d57a4b40</t>
        </is>
      </c>
      <c r="D18" s="6" t="inlineStr">
        <is>
          <t>INC-0009-01</t>
        </is>
      </c>
      <c r="E18" s="6" t="inlineStr">
        <is>
          <t>5151864492519</t>
        </is>
      </c>
      <c r="F18" s="6" t="n">
        <v>14</v>
      </c>
      <c r="G18" s="6" t="inlineStr">
        <is>
          <t>52816850542357</t>
        </is>
      </c>
      <c r="H18" s="8" t="n">
        <v>4999.14</v>
      </c>
      <c r="I18" s="6" t="inlineStr">
        <is>
          <t>2025-10-30 08:11:00</t>
        </is>
      </c>
      <c r="J18" s="8" t="n">
        <v>4999.14</v>
      </c>
      <c r="K18" s="6" t="inlineStr">
        <is>
          <t>20000</t>
        </is>
      </c>
      <c r="L18" s="6" t="inlineStr">
        <is>
          <t>Hold placed successfully</t>
        </is>
      </c>
      <c r="M18" s="6" t="inlineStr">
        <is>
          <t>9229270653</t>
        </is>
      </c>
      <c r="N18" s="6" t="inlineStr">
        <is>
          <t>OTJYX7383J</t>
        </is>
      </c>
      <c r="O18" s="6" t="inlineStr">
        <is>
          <t>cust7359@mail.com</t>
        </is>
      </c>
      <c r="P18" s="6" t="inlineStr">
        <is>
          <t>UCBA0291486</t>
        </is>
      </c>
      <c r="Q18" s="8" t="n">
        <v>4914.42</v>
      </c>
      <c r="R18" s="6" t="inlineStr">
        <is>
          <t>N</t>
        </is>
      </c>
      <c r="S18" s="6" t="inlineStr">
        <is>
          <t>LIEN1888059296</t>
        </is>
      </c>
      <c r="T18" s="8" t="n">
        <v>4999.14</v>
      </c>
    </row>
    <row r="19">
      <c r="A19" s="6" t="inlineStr">
        <is>
          <t>REQ-00010</t>
        </is>
      </c>
      <c r="B19" s="6" t="inlineStr">
        <is>
          <t>31608230000010</t>
        </is>
      </c>
      <c r="C19" s="6" t="inlineStr">
        <is>
          <t>7ccbb3c8-ddb8-415f-9d43-4be9e9a11433</t>
        </is>
      </c>
      <c r="D19" s="6" t="inlineStr">
        <is>
          <t>INC-0010-01</t>
        </is>
      </c>
      <c r="E19" s="6" t="inlineStr">
        <is>
          <t>6068536153051</t>
        </is>
      </c>
      <c r="F19" s="6" t="n">
        <v>9</v>
      </c>
      <c r="G19" s="6" t="inlineStr">
        <is>
          <t>79010432898614</t>
        </is>
      </c>
      <c r="H19" s="8" t="n">
        <v>9999.709999999999</v>
      </c>
      <c r="I19" s="6" t="inlineStr">
        <is>
          <t>2025-10-18 04:48:00</t>
        </is>
      </c>
      <c r="J19" s="8" t="n">
        <v>9999.709999999999</v>
      </c>
      <c r="K19" s="6" t="inlineStr">
        <is>
          <t>20010</t>
        </is>
      </c>
      <c r="L19" s="6" t="inlineStr">
        <is>
          <t>Balance not available; negative lien marked</t>
        </is>
      </c>
      <c r="M19" s="6" t="inlineStr">
        <is>
          <t>9711798089</t>
        </is>
      </c>
      <c r="N19" s="6" t="inlineStr">
        <is>
          <t>HWEJN0953S</t>
        </is>
      </c>
      <c r="O19" s="6" t="inlineStr">
        <is>
          <t>cust6218@mail.com</t>
        </is>
      </c>
      <c r="P19" s="6" t="inlineStr">
        <is>
          <t>INDB0204727</t>
        </is>
      </c>
      <c r="Q19" s="8" t="n">
        <v>4860.6</v>
      </c>
      <c r="R19" s="6" t="inlineStr">
        <is>
          <t>Y</t>
        </is>
      </c>
      <c r="S19" s="6" t="inlineStr"/>
      <c r="T19" s="8" t="n">
        <v>0</v>
      </c>
    </row>
    <row r="20">
      <c r="A20" s="6" t="inlineStr">
        <is>
          <t>REQ-00011</t>
        </is>
      </c>
      <c r="B20" s="6" t="inlineStr">
        <is>
          <t>31608230000011</t>
        </is>
      </c>
      <c r="C20" s="6" t="inlineStr">
        <is>
          <t>f2a9ed34-112d-43e1-99ae-06af4acc27ef</t>
        </is>
      </c>
      <c r="D20" s="6" t="inlineStr">
        <is>
          <t>INC-0011-01</t>
        </is>
      </c>
      <c r="E20" s="6" t="inlineStr">
        <is>
          <t>0548687403450</t>
        </is>
      </c>
      <c r="F20" s="6" t="n">
        <v>13</v>
      </c>
      <c r="G20" s="6" t="inlineStr">
        <is>
          <t>77584161692845</t>
        </is>
      </c>
      <c r="H20" s="8" t="n">
        <v>9999.66</v>
      </c>
      <c r="I20" s="6" t="inlineStr">
        <is>
          <t>2025-10-03 11:24:00</t>
        </is>
      </c>
      <c r="J20" s="8" t="n">
        <v>9999.66</v>
      </c>
      <c r="K20" s="6" t="inlineStr">
        <is>
          <t>20000</t>
        </is>
      </c>
      <c r="L20" s="6" t="inlineStr">
        <is>
          <t>Hold placed successfully</t>
        </is>
      </c>
      <c r="M20" s="6" t="inlineStr">
        <is>
          <t>9165820297</t>
        </is>
      </c>
      <c r="N20" s="6" t="inlineStr">
        <is>
          <t>BECHY5569B</t>
        </is>
      </c>
      <c r="O20" s="6" t="inlineStr">
        <is>
          <t>cust9275@mail.com</t>
        </is>
      </c>
      <c r="P20" s="6" t="inlineStr">
        <is>
          <t>UBIN0667652</t>
        </is>
      </c>
      <c r="Q20" s="8" t="n">
        <v>1546.07</v>
      </c>
      <c r="R20" s="6" t="inlineStr">
        <is>
          <t>N</t>
        </is>
      </c>
      <c r="S20" s="6" t="inlineStr">
        <is>
          <t>LIEN6275705964</t>
        </is>
      </c>
      <c r="T20" s="8" t="n">
        <v>9999.66</v>
      </c>
    </row>
    <row r="21">
      <c r="A21" s="6" t="inlineStr">
        <is>
          <t>REQ-00012</t>
        </is>
      </c>
      <c r="B21" s="6" t="inlineStr">
        <is>
          <t>31608230000012</t>
        </is>
      </c>
      <c r="C21" s="6" t="inlineStr">
        <is>
          <t>fb1b1cf6-96ac-46a4-84ac-3eacc39b2bd8</t>
        </is>
      </c>
      <c r="D21" s="6" t="inlineStr">
        <is>
          <t>INC-0012-01</t>
        </is>
      </c>
      <c r="E21" s="6" t="inlineStr">
        <is>
          <t>1884422583132</t>
        </is>
      </c>
      <c r="F21" s="6" t="n">
        <v>13</v>
      </c>
      <c r="G21" s="6" t="inlineStr">
        <is>
          <t>46786691251778</t>
        </is>
      </c>
      <c r="H21" s="8" t="n">
        <v>99.79000000000001</v>
      </c>
      <c r="I21" s="6" t="inlineStr">
        <is>
          <t>2025-10-16 19:43:00</t>
        </is>
      </c>
      <c r="J21" s="8" t="n">
        <v>99.79000000000001</v>
      </c>
      <c r="K21" s="6" t="inlineStr">
        <is>
          <t>20005</t>
        </is>
      </c>
      <c r="L21" s="6" t="inlineStr">
        <is>
          <t>Partial hold due to insufficient balance</t>
        </is>
      </c>
      <c r="M21" s="6" t="inlineStr">
        <is>
          <t>0000000000</t>
        </is>
      </c>
      <c r="N21" s="6" t="inlineStr">
        <is>
          <t>layer 0</t>
        </is>
      </c>
      <c r="O21" s="6" t="inlineStr">
        <is>
          <t>layer 0</t>
        </is>
      </c>
      <c r="P21" s="6" t="inlineStr">
        <is>
          <t>layer 0</t>
        </is>
      </c>
      <c r="Q21" s="8" t="n">
        <v>0</v>
      </c>
      <c r="R21" s="6" t="inlineStr">
        <is>
          <t>N</t>
        </is>
      </c>
      <c r="S21" s="6" t="inlineStr">
        <is>
          <t>LIEN9439690784</t>
        </is>
      </c>
      <c r="T21" s="8" t="n">
        <v>76.75</v>
      </c>
    </row>
    <row r="22">
      <c r="A22" s="6" t="inlineStr">
        <is>
          <t>REQ-00012</t>
        </is>
      </c>
      <c r="B22" s="6" t="inlineStr">
        <is>
          <t>31608230000012</t>
        </is>
      </c>
      <c r="C22" s="6" t="inlineStr">
        <is>
          <t>fb1b1cf6-96ac-46a4-84ac-3eacc39b2bd8</t>
        </is>
      </c>
      <c r="D22" s="6" t="inlineStr">
        <is>
          <t>INC-0012-02</t>
        </is>
      </c>
      <c r="E22" s="6" t="inlineStr">
        <is>
          <t>5289226801824</t>
        </is>
      </c>
      <c r="F22" s="6" t="n">
        <v>13</v>
      </c>
      <c r="G22" s="6" t="inlineStr">
        <is>
          <t>42498182992299</t>
        </is>
      </c>
      <c r="H22" s="8" t="n">
        <v>99.16</v>
      </c>
      <c r="I22" s="6" t="inlineStr">
        <is>
          <t>2025-10-16 20:18:00</t>
        </is>
      </c>
      <c r="J22" s="8" t="n">
        <v>99.16</v>
      </c>
      <c r="K22" s="6" t="inlineStr">
        <is>
          <t>20005</t>
        </is>
      </c>
      <c r="L22" s="6" t="inlineStr">
        <is>
          <t>Partial hold due to insufficient balance</t>
        </is>
      </c>
      <c r="M22" s="6" t="inlineStr">
        <is>
          <t>9773592555</t>
        </is>
      </c>
      <c r="N22" s="6" t="inlineStr">
        <is>
          <t>MEYLQ8153O</t>
        </is>
      </c>
      <c r="O22" s="6" t="inlineStr">
        <is>
          <t>cust1473@mail.com</t>
        </is>
      </c>
      <c r="P22" s="6" t="inlineStr">
        <is>
          <t>UBIN0841438</t>
        </is>
      </c>
      <c r="Q22" s="8" t="n">
        <v>274.83</v>
      </c>
      <c r="R22" s="6" t="inlineStr">
        <is>
          <t>N</t>
        </is>
      </c>
      <c r="S22" s="6" t="inlineStr">
        <is>
          <t>LIEN4736471027</t>
        </is>
      </c>
      <c r="T22" s="8" t="n">
        <v>58.02</v>
      </c>
    </row>
    <row r="23">
      <c r="A23" s="6" t="inlineStr">
        <is>
          <t>REQ-00013</t>
        </is>
      </c>
      <c r="B23" s="6" t="inlineStr">
        <is>
          <t>31608230000013</t>
        </is>
      </c>
      <c r="C23" s="6" t="inlineStr">
        <is>
          <t>17c42136-f082-48bc-b610-0672d0d42072</t>
        </is>
      </c>
      <c r="D23" s="6" t="inlineStr">
        <is>
          <t>INC-0013-01</t>
        </is>
      </c>
      <c r="E23" s="6" t="inlineStr">
        <is>
          <t>7480162456506</t>
        </is>
      </c>
      <c r="F23" s="6" t="n">
        <v>12</v>
      </c>
      <c r="G23" s="6" t="inlineStr">
        <is>
          <t>99121655852398</t>
        </is>
      </c>
      <c r="H23" s="8" t="n">
        <v>35.57</v>
      </c>
      <c r="I23" s="6" t="inlineStr">
        <is>
          <t>2025-10-25 07:58:00</t>
        </is>
      </c>
      <c r="J23" s="8" t="n">
        <v>35.57</v>
      </c>
      <c r="K23" s="6" t="inlineStr">
        <is>
          <t>50001</t>
        </is>
      </c>
      <c r="L23" s="6" t="inlineStr">
        <is>
          <t>CBS timeout; will retry</t>
        </is>
      </c>
      <c r="M23" s="6" t="inlineStr">
        <is>
          <t>0000000000</t>
        </is>
      </c>
      <c r="N23" s="6" t="inlineStr">
        <is>
          <t>layer 0</t>
        </is>
      </c>
      <c r="O23" s="6" t="inlineStr">
        <is>
          <t>layer 0</t>
        </is>
      </c>
      <c r="P23" s="6" t="inlineStr">
        <is>
          <t>layer 0</t>
        </is>
      </c>
      <c r="Q23" s="8" t="n">
        <v>0</v>
      </c>
      <c r="R23" s="6" t="inlineStr">
        <is>
          <t>N</t>
        </is>
      </c>
      <c r="S23" s="6" t="inlineStr"/>
      <c r="T23" s="8" t="n">
        <v>0</v>
      </c>
    </row>
    <row r="24">
      <c r="A24" s="6" t="inlineStr">
        <is>
          <t>REQ-00013</t>
        </is>
      </c>
      <c r="B24" s="6" t="inlineStr">
        <is>
          <t>31608230000013</t>
        </is>
      </c>
      <c r="C24" s="6" t="inlineStr">
        <is>
          <t>17c42136-f082-48bc-b610-0672d0d42072</t>
        </is>
      </c>
      <c r="D24" s="6" t="inlineStr">
        <is>
          <t>INC-0013-02</t>
        </is>
      </c>
      <c r="E24" s="6" t="inlineStr">
        <is>
          <t>6800025787298</t>
        </is>
      </c>
      <c r="F24" s="6" t="n">
        <v>9</v>
      </c>
      <c r="G24" s="6" t="inlineStr">
        <is>
          <t>88794705516940</t>
        </is>
      </c>
      <c r="H24" s="8" t="n">
        <v>99.33</v>
      </c>
      <c r="I24" s="6" t="inlineStr">
        <is>
          <t>2025-10-25 08:09:00</t>
        </is>
      </c>
      <c r="J24" s="8" t="n">
        <v>99.33</v>
      </c>
      <c r="K24" s="6" t="inlineStr">
        <is>
          <t>50001</t>
        </is>
      </c>
      <c r="L24" s="6" t="inlineStr">
        <is>
          <t>CBS timeout; will retry</t>
        </is>
      </c>
      <c r="M24" s="6" t="inlineStr">
        <is>
          <t>9549733484</t>
        </is>
      </c>
      <c r="N24" s="6" t="inlineStr">
        <is>
          <t>HJYJW3757L</t>
        </is>
      </c>
      <c r="O24" s="6" t="inlineStr">
        <is>
          <t>cust8441@mail.com</t>
        </is>
      </c>
      <c r="P24" s="6" t="inlineStr">
        <is>
          <t>INDB0694958</t>
        </is>
      </c>
      <c r="Q24" s="8" t="n">
        <v>2654.12</v>
      </c>
      <c r="R24" s="6" t="inlineStr">
        <is>
          <t>N</t>
        </is>
      </c>
      <c r="S24" s="6" t="inlineStr"/>
      <c r="T24" s="8" t="n">
        <v>0</v>
      </c>
    </row>
    <row r="25">
      <c r="A25" s="6" t="inlineStr">
        <is>
          <t>REQ-00013</t>
        </is>
      </c>
      <c r="B25" s="6" t="inlineStr">
        <is>
          <t>31608230000013</t>
        </is>
      </c>
      <c r="C25" s="6" t="inlineStr">
        <is>
          <t>17c42136-f082-48bc-b610-0672d0d42072</t>
        </is>
      </c>
      <c r="D25" s="6" t="inlineStr">
        <is>
          <t>INC-0013-03</t>
        </is>
      </c>
      <c r="E25" s="6" t="inlineStr">
        <is>
          <t>9749930972896</t>
        </is>
      </c>
      <c r="F25" s="6" t="n">
        <v>8</v>
      </c>
      <c r="G25" s="6" t="inlineStr">
        <is>
          <t>63689702838578</t>
        </is>
      </c>
      <c r="H25" s="8" t="n">
        <v>99.81999999999999</v>
      </c>
      <c r="I25" s="6" t="inlineStr">
        <is>
          <t>2025-10-25 09:22:00</t>
        </is>
      </c>
      <c r="J25" s="8" t="n">
        <v>99.81999999999999</v>
      </c>
      <c r="K25" s="6" t="inlineStr">
        <is>
          <t>50001</t>
        </is>
      </c>
      <c r="L25" s="6" t="inlineStr">
        <is>
          <t>CBS timeout; will retry</t>
        </is>
      </c>
      <c r="M25" s="6" t="inlineStr">
        <is>
          <t>0000000000</t>
        </is>
      </c>
      <c r="N25" s="6" t="inlineStr">
        <is>
          <t>layer 0</t>
        </is>
      </c>
      <c r="O25" s="6" t="inlineStr">
        <is>
          <t>layer 0</t>
        </is>
      </c>
      <c r="P25" s="6" t="inlineStr">
        <is>
          <t>layer 0</t>
        </is>
      </c>
      <c r="Q25" s="8" t="n">
        <v>0</v>
      </c>
      <c r="R25" s="6" t="inlineStr">
        <is>
          <t>N</t>
        </is>
      </c>
      <c r="S25" s="6" t="inlineStr"/>
      <c r="T25" s="8" t="n">
        <v>0</v>
      </c>
    </row>
    <row r="26">
      <c r="A26" s="6" t="inlineStr">
        <is>
          <t>REQ-00014</t>
        </is>
      </c>
      <c r="B26" s="6" t="inlineStr">
        <is>
          <t>31608230000014</t>
        </is>
      </c>
      <c r="C26" s="6" t="inlineStr">
        <is>
          <t>85909e1c-12aa-470f-981c-2741dccddf7f</t>
        </is>
      </c>
      <c r="D26" s="6" t="inlineStr">
        <is>
          <t>INC-0014-01</t>
        </is>
      </c>
      <c r="E26" s="6" t="inlineStr">
        <is>
          <t>1208267734540</t>
        </is>
      </c>
      <c r="F26" s="6" t="n">
        <v>7</v>
      </c>
      <c r="G26" s="6" t="inlineStr">
        <is>
          <t>24004991547887</t>
        </is>
      </c>
      <c r="H26" s="8" t="n">
        <v>9999.09</v>
      </c>
      <c r="I26" s="6" t="inlineStr">
        <is>
          <t>2025-10-17 07:24:00</t>
        </is>
      </c>
      <c r="J26" s="8" t="n">
        <v>9999.09</v>
      </c>
      <c r="K26" s="6" t="inlineStr">
        <is>
          <t>40001</t>
        </is>
      </c>
      <c r="L26" s="6" t="inlineStr">
        <is>
          <t>Account not found</t>
        </is>
      </c>
      <c r="M26" s="6" t="inlineStr">
        <is>
          <t>0000000000</t>
        </is>
      </c>
      <c r="N26" s="6" t="inlineStr">
        <is>
          <t>layer 0</t>
        </is>
      </c>
      <c r="O26" s="6" t="inlineStr">
        <is>
          <t>layer 0</t>
        </is>
      </c>
      <c r="P26" s="6" t="inlineStr">
        <is>
          <t>layer 0</t>
        </is>
      </c>
      <c r="Q26" s="8" t="n">
        <v>0</v>
      </c>
      <c r="R26" s="6" t="inlineStr">
        <is>
          <t>N</t>
        </is>
      </c>
      <c r="S26" s="6" t="inlineStr"/>
      <c r="T26" s="8" t="n">
        <v>0</v>
      </c>
    </row>
    <row r="27">
      <c r="A27" s="6" t="inlineStr">
        <is>
          <t>REQ-00014</t>
        </is>
      </c>
      <c r="B27" s="6" t="inlineStr">
        <is>
          <t>31608230000014</t>
        </is>
      </c>
      <c r="C27" s="6" t="inlineStr">
        <is>
          <t>85909e1c-12aa-470f-981c-2741dccddf7f</t>
        </is>
      </c>
      <c r="D27" s="6" t="inlineStr">
        <is>
          <t>INC-0014-02</t>
        </is>
      </c>
      <c r="E27" s="6" t="inlineStr">
        <is>
          <t>2874315274205</t>
        </is>
      </c>
      <c r="F27" s="6" t="n">
        <v>14</v>
      </c>
      <c r="G27" s="6" t="inlineStr">
        <is>
          <t>22753046374549</t>
        </is>
      </c>
      <c r="H27" s="8" t="n">
        <v>9999.299999999999</v>
      </c>
      <c r="I27" s="6" t="inlineStr">
        <is>
          <t>2025-10-17 08:56:00</t>
        </is>
      </c>
      <c r="J27" s="8" t="n">
        <v>9999.299999999999</v>
      </c>
      <c r="K27" s="6" t="inlineStr">
        <is>
          <t>40001</t>
        </is>
      </c>
      <c r="L27" s="6" t="inlineStr">
        <is>
          <t>Account not found</t>
        </is>
      </c>
      <c r="M27" s="6" t="inlineStr">
        <is>
          <t>0000000000</t>
        </is>
      </c>
      <c r="N27" s="6" t="inlineStr">
        <is>
          <t>layer 0</t>
        </is>
      </c>
      <c r="O27" s="6" t="inlineStr">
        <is>
          <t>layer 0</t>
        </is>
      </c>
      <c r="P27" s="6" t="inlineStr">
        <is>
          <t>layer 0</t>
        </is>
      </c>
      <c r="Q27" s="8" t="n">
        <v>0</v>
      </c>
      <c r="R27" s="6" t="inlineStr">
        <is>
          <t>N</t>
        </is>
      </c>
      <c r="S27" s="6" t="inlineStr"/>
      <c r="T27" s="8" t="n">
        <v>0</v>
      </c>
    </row>
    <row r="28">
      <c r="A28" s="6" t="inlineStr">
        <is>
          <t>REQ-00015</t>
        </is>
      </c>
      <c r="B28" s="6" t="inlineStr">
        <is>
          <t>31608230000015</t>
        </is>
      </c>
      <c r="C28" s="6" t="inlineStr">
        <is>
          <t>e1bf6439-b35d-4699-8f1a-9e23440e90aa</t>
        </is>
      </c>
      <c r="D28" s="6" t="inlineStr">
        <is>
          <t>INC-0015-01</t>
        </is>
      </c>
      <c r="E28" s="6" t="inlineStr">
        <is>
          <t>8839822587139</t>
        </is>
      </c>
      <c r="F28" s="6" t="n">
        <v>7</v>
      </c>
      <c r="G28" s="6" t="inlineStr">
        <is>
          <t>08740640391065</t>
        </is>
      </c>
      <c r="H28" s="8" t="n">
        <v>500.09</v>
      </c>
      <c r="I28" s="6" t="inlineStr">
        <is>
          <t>2025-10-06 17:41:00</t>
        </is>
      </c>
      <c r="J28" s="8" t="n">
        <v>500.09</v>
      </c>
      <c r="K28" s="6" t="inlineStr">
        <is>
          <t>20010</t>
        </is>
      </c>
      <c r="L28" s="6" t="inlineStr">
        <is>
          <t>Balance not available; negative lien marked</t>
        </is>
      </c>
      <c r="M28" s="6" t="inlineStr">
        <is>
          <t>9622656766</t>
        </is>
      </c>
      <c r="N28" s="6" t="inlineStr">
        <is>
          <t>CVVRE5128M</t>
        </is>
      </c>
      <c r="O28" s="6" t="inlineStr">
        <is>
          <t>cust8230@mail.com</t>
        </is>
      </c>
      <c r="P28" s="6" t="inlineStr">
        <is>
          <t>KKBK0728679</t>
        </is>
      </c>
      <c r="Q28" s="8" t="n">
        <v>3658.99</v>
      </c>
      <c r="R28" s="6" t="inlineStr">
        <is>
          <t>Y</t>
        </is>
      </c>
      <c r="S28" s="6" t="inlineStr"/>
      <c r="T28" s="8" t="n">
        <v>0</v>
      </c>
    </row>
    <row r="29">
      <c r="A29" s="6" t="inlineStr">
        <is>
          <t>REQ-00016</t>
        </is>
      </c>
      <c r="B29" s="6" t="inlineStr">
        <is>
          <t>31608230000016</t>
        </is>
      </c>
      <c r="C29" s="6" t="inlineStr">
        <is>
          <t>79a28af4-62f8-4124-bbf2-32c6e9d92329</t>
        </is>
      </c>
      <c r="D29" s="6" t="inlineStr">
        <is>
          <t>INC-0016-01</t>
        </is>
      </c>
      <c r="E29" s="6" t="inlineStr">
        <is>
          <t>8302843959953</t>
        </is>
      </c>
      <c r="F29" s="6" t="n">
        <v>11</v>
      </c>
      <c r="G29" s="6" t="inlineStr">
        <is>
          <t>26870568566246</t>
        </is>
      </c>
      <c r="H29" s="8" t="n">
        <v>250.88</v>
      </c>
      <c r="I29" s="6" t="inlineStr">
        <is>
          <t>2025-10-22 14:07:00</t>
        </is>
      </c>
      <c r="J29" s="8" t="n">
        <v>250.88</v>
      </c>
      <c r="K29" s="6" t="inlineStr">
        <is>
          <t>20005</t>
        </is>
      </c>
      <c r="L29" s="6" t="inlineStr">
        <is>
          <t>Partial hold due to insufficient balance</t>
        </is>
      </c>
      <c r="M29" s="6" t="inlineStr">
        <is>
          <t>9435175183</t>
        </is>
      </c>
      <c r="N29" s="6" t="inlineStr">
        <is>
          <t>BIMVT9013Z</t>
        </is>
      </c>
      <c r="O29" s="6" t="inlineStr">
        <is>
          <t>cust9837@mail.com</t>
        </is>
      </c>
      <c r="P29" s="6" t="inlineStr">
        <is>
          <t>IDFB0644089</t>
        </is>
      </c>
      <c r="Q29" s="8" t="n">
        <v>648.89</v>
      </c>
      <c r="R29" s="6" t="inlineStr">
        <is>
          <t>N</t>
        </is>
      </c>
      <c r="S29" s="6" t="inlineStr">
        <is>
          <t>LIEN2708668826</t>
        </is>
      </c>
      <c r="T29" s="8" t="n">
        <v>179.26</v>
      </c>
    </row>
    <row r="30">
      <c r="A30" s="6" t="inlineStr">
        <is>
          <t>REQ-00017</t>
        </is>
      </c>
      <c r="B30" s="6" t="inlineStr">
        <is>
          <t>31608230000017</t>
        </is>
      </c>
      <c r="C30" s="6" t="inlineStr">
        <is>
          <t>8f9d0193-d0ef-4ff0-8143-60e737c9760e</t>
        </is>
      </c>
      <c r="D30" s="6" t="inlineStr">
        <is>
          <t>INC-0017-01</t>
        </is>
      </c>
      <c r="E30" s="6" t="inlineStr">
        <is>
          <t>6093204899642</t>
        </is>
      </c>
      <c r="F30" s="6" t="n">
        <v>11</v>
      </c>
      <c r="G30" s="6" t="inlineStr">
        <is>
          <t>72522872808010</t>
        </is>
      </c>
      <c r="H30" s="8" t="n">
        <v>99.33</v>
      </c>
      <c r="I30" s="6" t="inlineStr">
        <is>
          <t>2025-10-19 06:20:00</t>
        </is>
      </c>
      <c r="J30" s="8" t="n">
        <v>99.33</v>
      </c>
      <c r="K30" s="6" t="inlineStr">
        <is>
          <t>20000</t>
        </is>
      </c>
      <c r="L30" s="6" t="inlineStr">
        <is>
          <t>Hold placed successfully</t>
        </is>
      </c>
      <c r="M30" s="6" t="inlineStr">
        <is>
          <t>9803397401</t>
        </is>
      </c>
      <c r="N30" s="6" t="inlineStr">
        <is>
          <t>VIRSV0250G</t>
        </is>
      </c>
      <c r="O30" s="6" t="inlineStr">
        <is>
          <t>cust9261@mail.com</t>
        </is>
      </c>
      <c r="P30" s="6" t="inlineStr">
        <is>
          <t>IDFB0785477</t>
        </is>
      </c>
      <c r="Q30" s="8" t="n">
        <v>1146.02</v>
      </c>
      <c r="R30" s="6" t="inlineStr">
        <is>
          <t>N</t>
        </is>
      </c>
      <c r="S30" s="6" t="inlineStr">
        <is>
          <t>LIEN6793341016</t>
        </is>
      </c>
      <c r="T30" s="8" t="n">
        <v>99.33</v>
      </c>
    </row>
    <row r="31">
      <c r="A31" s="6" t="inlineStr">
        <is>
          <t>REQ-00017</t>
        </is>
      </c>
      <c r="B31" s="6" t="inlineStr">
        <is>
          <t>31608230000017</t>
        </is>
      </c>
      <c r="C31" s="6" t="inlineStr">
        <is>
          <t>8f9d0193-d0ef-4ff0-8143-60e737c9760e</t>
        </is>
      </c>
      <c r="D31" s="6" t="inlineStr">
        <is>
          <t>INC-0017-02</t>
        </is>
      </c>
      <c r="E31" s="6" t="inlineStr">
        <is>
          <t>0623120387509</t>
        </is>
      </c>
      <c r="F31" s="6" t="n">
        <v>36</v>
      </c>
      <c r="G31" s="6" t="inlineStr">
        <is>
          <t>00848408621182</t>
        </is>
      </c>
      <c r="H31" s="8" t="n">
        <v>4999.67</v>
      </c>
      <c r="I31" s="6" t="inlineStr">
        <is>
          <t>2025-10-19 04:52:00</t>
        </is>
      </c>
      <c r="J31" s="8" t="n">
        <v>4999.67</v>
      </c>
      <c r="K31" s="6" t="inlineStr">
        <is>
          <t>20000</t>
        </is>
      </c>
      <c r="L31" s="6" t="inlineStr">
        <is>
          <t>Hold placed successfully; effective balance was -337.06 (sent as 0 per rule)</t>
        </is>
      </c>
      <c r="M31" s="6" t="inlineStr">
        <is>
          <t>9939685621</t>
        </is>
      </c>
      <c r="N31" s="6" t="inlineStr">
        <is>
          <t>QXLBD6315T</t>
        </is>
      </c>
      <c r="O31" s="6" t="inlineStr">
        <is>
          <t>cust9965@mail.com</t>
        </is>
      </c>
      <c r="P31" s="6" t="inlineStr">
        <is>
          <t>VARA0700886</t>
        </is>
      </c>
      <c r="Q31" s="8" t="n">
        <v>0</v>
      </c>
      <c r="R31" s="6" t="inlineStr">
        <is>
          <t>N</t>
        </is>
      </c>
      <c r="S31" s="6" t="inlineStr">
        <is>
          <t>LIEN8700217659</t>
        </is>
      </c>
      <c r="T31" s="8" t="n">
        <v>4999.67</v>
      </c>
    </row>
    <row r="32">
      <c r="A32" s="6" t="inlineStr">
        <is>
          <t>REQ-00018</t>
        </is>
      </c>
      <c r="B32" s="6" t="inlineStr">
        <is>
          <t>31608230000018</t>
        </is>
      </c>
      <c r="C32" s="6" t="inlineStr">
        <is>
          <t>a392623d-7711-4020-a2c9-793555384b0b</t>
        </is>
      </c>
      <c r="D32" s="6" t="inlineStr">
        <is>
          <t>INC-0018-01</t>
        </is>
      </c>
      <c r="E32" s="6" t="inlineStr">
        <is>
          <t>1212678886101</t>
        </is>
      </c>
      <c r="F32" s="6" t="n">
        <v>13</v>
      </c>
      <c r="G32" s="6" t="inlineStr">
        <is>
          <t>83982622444721</t>
        </is>
      </c>
      <c r="H32" s="8" t="n">
        <v>250.55</v>
      </c>
      <c r="I32" s="6" t="inlineStr">
        <is>
          <t>2025-10-18 17:42:00</t>
        </is>
      </c>
      <c r="J32" s="8" t="n">
        <v>250.55</v>
      </c>
      <c r="K32" s="6" t="inlineStr">
        <is>
          <t>20000</t>
        </is>
      </c>
      <c r="L32" s="6" t="inlineStr">
        <is>
          <t>Hold placed successfully</t>
        </is>
      </c>
      <c r="M32" s="6" t="inlineStr">
        <is>
          <t>9266179796</t>
        </is>
      </c>
      <c r="N32" s="6" t="inlineStr">
        <is>
          <t>RQWNR0589U</t>
        </is>
      </c>
      <c r="O32" s="6" t="inlineStr">
        <is>
          <t>cust1135@mail.com</t>
        </is>
      </c>
      <c r="P32" s="6" t="inlineStr">
        <is>
          <t>UBIN0604661</t>
        </is>
      </c>
      <c r="Q32" s="8" t="n">
        <v>414.86</v>
      </c>
      <c r="R32" s="6" t="inlineStr">
        <is>
          <t>N</t>
        </is>
      </c>
      <c r="S32" s="6" t="inlineStr">
        <is>
          <t>LIEN6519398280</t>
        </is>
      </c>
      <c r="T32" s="8" t="n">
        <v>250.55</v>
      </c>
    </row>
    <row r="33">
      <c r="A33" s="6" t="inlineStr">
        <is>
          <t>REQ-00018</t>
        </is>
      </c>
      <c r="B33" s="6" t="inlineStr">
        <is>
          <t>31608230000018</t>
        </is>
      </c>
      <c r="C33" s="6" t="inlineStr">
        <is>
          <t>a392623d-7711-4020-a2c9-793555384b0b</t>
        </is>
      </c>
      <c r="D33" s="6" t="inlineStr">
        <is>
          <t>INC-0018-02</t>
        </is>
      </c>
      <c r="E33" s="6" t="inlineStr">
        <is>
          <t>2646471543799</t>
        </is>
      </c>
      <c r="F33" s="6" t="n">
        <v>7</v>
      </c>
      <c r="G33" s="6" t="inlineStr">
        <is>
          <t>56924593752654</t>
        </is>
      </c>
      <c r="H33" s="8" t="n">
        <v>99.45999999999999</v>
      </c>
      <c r="I33" s="6" t="inlineStr">
        <is>
          <t>2025-10-18 18:58:00</t>
        </is>
      </c>
      <c r="J33" s="8" t="n">
        <v>99.45999999999999</v>
      </c>
      <c r="K33" s="6" t="inlineStr">
        <is>
          <t>20000</t>
        </is>
      </c>
      <c r="L33" s="6" t="inlineStr">
        <is>
          <t>Hold placed successfully</t>
        </is>
      </c>
      <c r="M33" s="6" t="inlineStr">
        <is>
          <t>0000000000</t>
        </is>
      </c>
      <c r="N33" s="6" t="inlineStr">
        <is>
          <t>layer 0</t>
        </is>
      </c>
      <c r="O33" s="6" t="inlineStr">
        <is>
          <t>layer 0</t>
        </is>
      </c>
      <c r="P33" s="6" t="inlineStr">
        <is>
          <t>layer 0</t>
        </is>
      </c>
      <c r="Q33" s="8" t="n">
        <v>0</v>
      </c>
      <c r="R33" s="6" t="inlineStr">
        <is>
          <t>N</t>
        </is>
      </c>
      <c r="S33" s="6" t="inlineStr">
        <is>
          <t>LIEN7374167243</t>
        </is>
      </c>
      <c r="T33" s="8" t="n">
        <v>99.45999999999999</v>
      </c>
    </row>
    <row r="34">
      <c r="A34" s="6" t="inlineStr">
        <is>
          <t>REQ-00019</t>
        </is>
      </c>
      <c r="B34" s="6" t="inlineStr">
        <is>
          <t>31608230000019</t>
        </is>
      </c>
      <c r="C34" s="6" t="inlineStr">
        <is>
          <t>5c2cbf12-f130-47b1-a973-31250ad54c30</t>
        </is>
      </c>
      <c r="D34" s="6" t="inlineStr">
        <is>
          <t>INC-0019-01</t>
        </is>
      </c>
      <c r="E34" s="6" t="inlineStr">
        <is>
          <t>4573875717751</t>
        </is>
      </c>
      <c r="F34" s="6" t="n">
        <v>7</v>
      </c>
      <c r="G34" s="6" t="inlineStr">
        <is>
          <t>82586736226609</t>
        </is>
      </c>
      <c r="H34" s="8" t="n">
        <v>250.04</v>
      </c>
      <c r="I34" s="6" t="inlineStr">
        <is>
          <t>2025-10-08 05:26:00</t>
        </is>
      </c>
      <c r="J34" s="8" t="n">
        <v>250.04</v>
      </c>
      <c r="K34" s="6" t="inlineStr">
        <is>
          <t>20010</t>
        </is>
      </c>
      <c r="L34" s="6" t="inlineStr">
        <is>
          <t>Balance not available; negative lien marked</t>
        </is>
      </c>
      <c r="M34" s="6" t="inlineStr">
        <is>
          <t>9286692966</t>
        </is>
      </c>
      <c r="N34" s="6" t="inlineStr">
        <is>
          <t>FPURW2827J</t>
        </is>
      </c>
      <c r="O34" s="6" t="inlineStr">
        <is>
          <t>cust2257@mail.com</t>
        </is>
      </c>
      <c r="P34" s="6" t="inlineStr">
        <is>
          <t>KKBK0512382</t>
        </is>
      </c>
      <c r="Q34" s="8" t="n">
        <v>2906.75</v>
      </c>
      <c r="R34" s="6" t="inlineStr">
        <is>
          <t>Y</t>
        </is>
      </c>
      <c r="S34" s="6" t="inlineStr"/>
      <c r="T34" s="8" t="n">
        <v>0</v>
      </c>
    </row>
    <row r="35">
      <c r="A35" s="6" t="inlineStr">
        <is>
          <t>REQ-00019</t>
        </is>
      </c>
      <c r="B35" s="6" t="inlineStr">
        <is>
          <t>31608230000019</t>
        </is>
      </c>
      <c r="C35" s="6" t="inlineStr">
        <is>
          <t>5c2cbf12-f130-47b1-a973-31250ad54c30</t>
        </is>
      </c>
      <c r="D35" s="6" t="inlineStr">
        <is>
          <t>INC-0019-02</t>
        </is>
      </c>
      <c r="E35" s="6" t="inlineStr">
        <is>
          <t>3796603341918</t>
        </is>
      </c>
      <c r="F35" s="6" t="n">
        <v>8</v>
      </c>
      <c r="G35" s="6" t="inlineStr">
        <is>
          <t>96915579249912</t>
        </is>
      </c>
      <c r="H35" s="8" t="n">
        <v>99.37</v>
      </c>
      <c r="I35" s="6" t="inlineStr">
        <is>
          <t>2025-10-08 03:58:00</t>
        </is>
      </c>
      <c r="J35" s="8" t="n">
        <v>99.37</v>
      </c>
      <c r="K35" s="6" t="inlineStr">
        <is>
          <t>20010</t>
        </is>
      </c>
      <c r="L35" s="6" t="inlineStr">
        <is>
          <t>Balance not available; negative lien marked</t>
        </is>
      </c>
      <c r="M35" s="6" t="inlineStr">
        <is>
          <t>0000000000</t>
        </is>
      </c>
      <c r="N35" s="6" t="inlineStr">
        <is>
          <t>layer 0</t>
        </is>
      </c>
      <c r="O35" s="6" t="inlineStr">
        <is>
          <t>layer 0</t>
        </is>
      </c>
      <c r="P35" s="6" t="inlineStr">
        <is>
          <t>layer 0</t>
        </is>
      </c>
      <c r="Q35" s="8" t="n">
        <v>0</v>
      </c>
      <c r="R35" s="6" t="inlineStr">
        <is>
          <t>Y</t>
        </is>
      </c>
      <c r="S35" s="6" t="inlineStr"/>
      <c r="T35" s="8" t="n">
        <v>0</v>
      </c>
    </row>
    <row r="36">
      <c r="A36" s="6" t="inlineStr">
        <is>
          <t>REQ-00020</t>
        </is>
      </c>
      <c r="B36" s="6" t="inlineStr">
        <is>
          <t>31608230000020</t>
        </is>
      </c>
      <c r="C36" s="6" t="inlineStr">
        <is>
          <t>847dbb0e-b66b-41c0-b403-75ca9ecdc286</t>
        </is>
      </c>
      <c r="D36" s="6" t="inlineStr">
        <is>
          <t>INC-0020-01</t>
        </is>
      </c>
      <c r="E36" s="6" t="inlineStr">
        <is>
          <t>8580783613407</t>
        </is>
      </c>
      <c r="F36" s="6" t="n">
        <v>8</v>
      </c>
      <c r="G36" s="6" t="inlineStr">
        <is>
          <t>29233095849825</t>
        </is>
      </c>
      <c r="H36" s="8" t="n">
        <v>250.35</v>
      </c>
      <c r="I36" s="6" t="inlineStr">
        <is>
          <t>2025-10-06 20:03:00</t>
        </is>
      </c>
      <c r="J36" s="8" t="n">
        <v>250.35</v>
      </c>
      <c r="K36" s="6" t="inlineStr">
        <is>
          <t>20000</t>
        </is>
      </c>
      <c r="L36" s="6" t="inlineStr">
        <is>
          <t>Hold placed successfully</t>
        </is>
      </c>
      <c r="M36" s="6" t="inlineStr">
        <is>
          <t>0000000000</t>
        </is>
      </c>
      <c r="N36" s="6" t="inlineStr">
        <is>
          <t>layer 0</t>
        </is>
      </c>
      <c r="O36" s="6" t="inlineStr">
        <is>
          <t>layer 0</t>
        </is>
      </c>
      <c r="P36" s="6" t="inlineStr">
        <is>
          <t>layer 0</t>
        </is>
      </c>
      <c r="Q36" s="8" t="n">
        <v>0</v>
      </c>
      <c r="R36" s="6" t="inlineStr">
        <is>
          <t>N</t>
        </is>
      </c>
      <c r="S36" s="6" t="inlineStr">
        <is>
          <t>LIEN5458929750</t>
        </is>
      </c>
      <c r="T36" s="8" t="n">
        <v>250.35</v>
      </c>
    </row>
    <row r="37">
      <c r="A37" s="6" t="inlineStr">
        <is>
          <t>REQ-00020</t>
        </is>
      </c>
      <c r="B37" s="6" t="inlineStr">
        <is>
          <t>31608230000020</t>
        </is>
      </c>
      <c r="C37" s="6" t="inlineStr">
        <is>
          <t>847dbb0e-b66b-41c0-b403-75ca9ecdc286</t>
        </is>
      </c>
      <c r="D37" s="6" t="inlineStr">
        <is>
          <t>INC-0020-02</t>
        </is>
      </c>
      <c r="E37" s="6" t="inlineStr">
        <is>
          <t>4494812604223</t>
        </is>
      </c>
      <c r="F37" s="6" t="n">
        <v>14</v>
      </c>
      <c r="G37" s="6" t="inlineStr">
        <is>
          <t>71168457759017</t>
        </is>
      </c>
      <c r="H37" s="8" t="n">
        <v>99.70999999999999</v>
      </c>
      <c r="I37" s="6" t="inlineStr">
        <is>
          <t>2025-10-06 18:41:00</t>
        </is>
      </c>
      <c r="J37" s="8" t="n">
        <v>99.70999999999999</v>
      </c>
      <c r="K37" s="6" t="inlineStr">
        <is>
          <t>20000</t>
        </is>
      </c>
      <c r="L37" s="6" t="inlineStr">
        <is>
          <t>Hold placed successfully</t>
        </is>
      </c>
      <c r="M37" s="6" t="inlineStr">
        <is>
          <t>0000000000</t>
        </is>
      </c>
      <c r="N37" s="6" t="inlineStr">
        <is>
          <t>layer 0</t>
        </is>
      </c>
      <c r="O37" s="6" t="inlineStr">
        <is>
          <t>layer 0</t>
        </is>
      </c>
      <c r="P37" s="6" t="inlineStr">
        <is>
          <t>layer 0</t>
        </is>
      </c>
      <c r="Q37" s="8" t="n">
        <v>0</v>
      </c>
      <c r="R37" s="6" t="inlineStr">
        <is>
          <t>N</t>
        </is>
      </c>
      <c r="S37" s="6" t="inlineStr">
        <is>
          <t>LIEN7012770632</t>
        </is>
      </c>
      <c r="T37" s="8" t="n">
        <v>99.70999999999999</v>
      </c>
    </row>
    <row r="38">
      <c r="A38" s="6" t="inlineStr">
        <is>
          <t>REQ-00021</t>
        </is>
      </c>
      <c r="B38" s="6" t="inlineStr">
        <is>
          <t>31608230000021</t>
        </is>
      </c>
      <c r="C38" s="6" t="inlineStr">
        <is>
          <t>cc2c80ef-e1cd-4a3f-a6fe-9aad3850ab1b</t>
        </is>
      </c>
      <c r="D38" s="6" t="inlineStr">
        <is>
          <t>INC-0021-01</t>
        </is>
      </c>
      <c r="E38" s="6" t="inlineStr">
        <is>
          <t>1361115542622</t>
        </is>
      </c>
      <c r="F38" s="6" t="n">
        <v>9</v>
      </c>
      <c r="G38" s="6" t="inlineStr">
        <is>
          <t>73112196565234</t>
        </is>
      </c>
      <c r="H38" s="8" t="n">
        <v>35.53</v>
      </c>
      <c r="I38" s="6" t="inlineStr">
        <is>
          <t>2025-10-07 16:14:00</t>
        </is>
      </c>
      <c r="J38" s="8" t="n">
        <v>35.53</v>
      </c>
      <c r="K38" s="6" t="inlineStr">
        <is>
          <t>20010</t>
        </is>
      </c>
      <c r="L38" s="6" t="inlineStr">
        <is>
          <t>Balance not available; negative lien marked</t>
        </is>
      </c>
      <c r="M38" s="6" t="inlineStr">
        <is>
          <t>0000000000</t>
        </is>
      </c>
      <c r="N38" s="6" t="inlineStr">
        <is>
          <t>layer 0</t>
        </is>
      </c>
      <c r="O38" s="6" t="inlineStr">
        <is>
          <t>layer 0</t>
        </is>
      </c>
      <c r="P38" s="6" t="inlineStr">
        <is>
          <t>layer 0</t>
        </is>
      </c>
      <c r="Q38" s="8" t="n">
        <v>0</v>
      </c>
      <c r="R38" s="6" t="inlineStr">
        <is>
          <t>Y</t>
        </is>
      </c>
      <c r="S38" s="6" t="inlineStr"/>
      <c r="T38" s="8" t="n">
        <v>0</v>
      </c>
    </row>
    <row r="39">
      <c r="A39" s="6" t="inlineStr">
        <is>
          <t>REQ-00021</t>
        </is>
      </c>
      <c r="B39" s="6" t="inlineStr">
        <is>
          <t>31608230000021</t>
        </is>
      </c>
      <c r="C39" s="6" t="inlineStr">
        <is>
          <t>cc2c80ef-e1cd-4a3f-a6fe-9aad3850ab1b</t>
        </is>
      </c>
      <c r="D39" s="6" t="inlineStr">
        <is>
          <t>INC-0021-02</t>
        </is>
      </c>
      <c r="E39" s="6" t="inlineStr">
        <is>
          <t>1389994043898</t>
        </is>
      </c>
      <c r="F39" s="6" t="n">
        <v>7</v>
      </c>
      <c r="G39" s="6" t="inlineStr">
        <is>
          <t>91805526965827</t>
        </is>
      </c>
      <c r="H39" s="8" t="n">
        <v>99.75</v>
      </c>
      <c r="I39" s="6" t="inlineStr">
        <is>
          <t>2025-10-07 16:05:00</t>
        </is>
      </c>
      <c r="J39" s="8" t="n">
        <v>99.75</v>
      </c>
      <c r="K39" s="6" t="inlineStr">
        <is>
          <t>20010</t>
        </is>
      </c>
      <c r="L39" s="6" t="inlineStr">
        <is>
          <t>Balance not available; negative lien marked</t>
        </is>
      </c>
      <c r="M39" s="6" t="inlineStr">
        <is>
          <t>9068486661</t>
        </is>
      </c>
      <c r="N39" s="6" t="inlineStr">
        <is>
          <t>URRTE4141Q</t>
        </is>
      </c>
      <c r="O39" s="6" t="inlineStr">
        <is>
          <t>cust3285@mail.com</t>
        </is>
      </c>
      <c r="P39" s="6" t="inlineStr">
        <is>
          <t>KKBK0376137</t>
        </is>
      </c>
      <c r="Q39" s="8" t="n">
        <v>1649.02</v>
      </c>
      <c r="R39" s="6" t="inlineStr">
        <is>
          <t>Y</t>
        </is>
      </c>
      <c r="S39" s="6" t="inlineStr"/>
      <c r="T39" s="8" t="n">
        <v>0</v>
      </c>
    </row>
    <row r="40">
      <c r="A40" s="6" t="inlineStr">
        <is>
          <t>REQ-00022</t>
        </is>
      </c>
      <c r="B40" s="6" t="inlineStr">
        <is>
          <t>31608230000022</t>
        </is>
      </c>
      <c r="C40" s="6" t="inlineStr">
        <is>
          <t>c448c5ea-5f48-4c6a-bd8f-92d098983753</t>
        </is>
      </c>
      <c r="D40" s="6" t="inlineStr">
        <is>
          <t>INC-0022-01</t>
        </is>
      </c>
      <c r="E40" s="6" t="inlineStr">
        <is>
          <t>5648149177850</t>
        </is>
      </c>
      <c r="F40" s="6" t="n">
        <v>9</v>
      </c>
      <c r="G40" s="6" t="inlineStr">
        <is>
          <t>00030756220863</t>
        </is>
      </c>
      <c r="H40" s="8" t="n">
        <v>500.86</v>
      </c>
      <c r="I40" s="6" t="inlineStr">
        <is>
          <t>2025-10-07 00:51:00</t>
        </is>
      </c>
      <c r="J40" s="8" t="n">
        <v>500.86</v>
      </c>
      <c r="K40" s="6" t="inlineStr">
        <is>
          <t>50001</t>
        </is>
      </c>
      <c r="L40" s="6" t="inlineStr">
        <is>
          <t>CBS timeout; will retry</t>
        </is>
      </c>
      <c r="M40" s="6" t="inlineStr">
        <is>
          <t>0000000000</t>
        </is>
      </c>
      <c r="N40" s="6" t="inlineStr">
        <is>
          <t>layer 0</t>
        </is>
      </c>
      <c r="O40" s="6" t="inlineStr">
        <is>
          <t>layer 0</t>
        </is>
      </c>
      <c r="P40" s="6" t="inlineStr">
        <is>
          <t>layer 0</t>
        </is>
      </c>
      <c r="Q40" s="8" t="n">
        <v>0</v>
      </c>
      <c r="R40" s="6" t="inlineStr">
        <is>
          <t>N</t>
        </is>
      </c>
      <c r="S40" s="6" t="inlineStr"/>
      <c r="T40" s="8" t="n">
        <v>0</v>
      </c>
    </row>
    <row r="41">
      <c r="A41" s="6" t="inlineStr">
        <is>
          <t>REQ-00023</t>
        </is>
      </c>
      <c r="B41" s="6" t="inlineStr">
        <is>
          <t>31608230000023</t>
        </is>
      </c>
      <c r="C41" s="6" t="inlineStr">
        <is>
          <t>cf64d3e6-8e1a-4394-9bf7-a06993c80807</t>
        </is>
      </c>
      <c r="D41" s="6" t="inlineStr">
        <is>
          <t>INC-0023-01</t>
        </is>
      </c>
      <c r="E41" s="6" t="inlineStr">
        <is>
          <t>6038505064138</t>
        </is>
      </c>
      <c r="F41" s="6" t="n">
        <v>12</v>
      </c>
      <c r="G41" s="6" t="inlineStr">
        <is>
          <t>71918261990623</t>
        </is>
      </c>
      <c r="H41" s="8" t="n">
        <v>99.42</v>
      </c>
      <c r="I41" s="6" t="inlineStr">
        <is>
          <t>2025-10-08 15:44:00</t>
        </is>
      </c>
      <c r="J41" s="8" t="n">
        <v>99.42</v>
      </c>
      <c r="K41" s="6" t="inlineStr">
        <is>
          <t>20000</t>
        </is>
      </c>
      <c r="L41" s="6" t="inlineStr">
        <is>
          <t>Hold placed successfully</t>
        </is>
      </c>
      <c r="M41" s="6" t="inlineStr">
        <is>
          <t>0000000000</t>
        </is>
      </c>
      <c r="N41" s="6" t="inlineStr">
        <is>
          <t>layer 0</t>
        </is>
      </c>
      <c r="O41" s="6" t="inlineStr">
        <is>
          <t>layer 0</t>
        </is>
      </c>
      <c r="P41" s="6" t="inlineStr">
        <is>
          <t>layer 0</t>
        </is>
      </c>
      <c r="Q41" s="8" t="n">
        <v>0</v>
      </c>
      <c r="R41" s="6" t="inlineStr">
        <is>
          <t>N</t>
        </is>
      </c>
      <c r="S41" s="6" t="inlineStr">
        <is>
          <t>LIEN3132912127</t>
        </is>
      </c>
      <c r="T41" s="8" t="n">
        <v>99.42</v>
      </c>
    </row>
    <row r="42">
      <c r="A42" s="6" t="inlineStr">
        <is>
          <t>REQ-00024</t>
        </is>
      </c>
      <c r="B42" s="6" t="inlineStr">
        <is>
          <t>31608230000024</t>
        </is>
      </c>
      <c r="C42" s="6" t="inlineStr">
        <is>
          <t>fd508175-47e4-4db9-9acc-f5b2c60a8ea5</t>
        </is>
      </c>
      <c r="D42" s="6" t="inlineStr">
        <is>
          <t>INC-0024-01</t>
        </is>
      </c>
      <c r="E42" s="6" t="inlineStr">
        <is>
          <t>8317121003236</t>
        </is>
      </c>
      <c r="F42" s="6" t="n">
        <v>12</v>
      </c>
      <c r="G42" s="6" t="inlineStr">
        <is>
          <t>15107029667066</t>
        </is>
      </c>
      <c r="H42" s="8" t="n">
        <v>250.69</v>
      </c>
      <c r="I42" s="6" t="inlineStr">
        <is>
          <t>2025-10-23 05:16:00</t>
        </is>
      </c>
      <c r="J42" s="8" t="n">
        <v>250.69</v>
      </c>
      <c r="K42" s="6" t="inlineStr">
        <is>
          <t>40001</t>
        </is>
      </c>
      <c r="L42" s="6" t="inlineStr">
        <is>
          <t>Account not found</t>
        </is>
      </c>
      <c r="M42" s="6" t="inlineStr">
        <is>
          <t>0000000000</t>
        </is>
      </c>
      <c r="N42" s="6" t="inlineStr">
        <is>
          <t>layer 0</t>
        </is>
      </c>
      <c r="O42" s="6" t="inlineStr">
        <is>
          <t>layer 0</t>
        </is>
      </c>
      <c r="P42" s="6" t="inlineStr">
        <is>
          <t>layer 0</t>
        </is>
      </c>
      <c r="Q42" s="8" t="n">
        <v>0</v>
      </c>
      <c r="R42" s="6" t="inlineStr">
        <is>
          <t>N</t>
        </is>
      </c>
      <c r="S42" s="6" t="inlineStr"/>
      <c r="T42" s="8" t="n">
        <v>0</v>
      </c>
    </row>
    <row r="43">
      <c r="A43" s="6" t="inlineStr">
        <is>
          <t>REQ-00024</t>
        </is>
      </c>
      <c r="B43" s="6" t="inlineStr">
        <is>
          <t>31608230000024</t>
        </is>
      </c>
      <c r="C43" s="6" t="inlineStr">
        <is>
          <t>fd508175-47e4-4db9-9acc-f5b2c60a8ea5</t>
        </is>
      </c>
      <c r="D43" s="6" t="inlineStr">
        <is>
          <t>INC-0024-02</t>
        </is>
      </c>
      <c r="E43" s="6" t="inlineStr">
        <is>
          <t>2532447209993</t>
        </is>
      </c>
      <c r="F43" s="6" t="n">
        <v>36</v>
      </c>
      <c r="G43" s="6" t="inlineStr">
        <is>
          <t>38380657875985</t>
        </is>
      </c>
      <c r="H43" s="8" t="n">
        <v>4999.3</v>
      </c>
      <c r="I43" s="6" t="inlineStr">
        <is>
          <t>2025-10-23 04:00:00</t>
        </is>
      </c>
      <c r="J43" s="8" t="n">
        <v>4999.3</v>
      </c>
      <c r="K43" s="6" t="inlineStr">
        <is>
          <t>40001</t>
        </is>
      </c>
      <c r="L43" s="6" t="inlineStr">
        <is>
          <t>Account not found</t>
        </is>
      </c>
      <c r="M43" s="6" t="inlineStr">
        <is>
          <t>9701039308</t>
        </is>
      </c>
      <c r="N43" s="6" t="inlineStr">
        <is>
          <t>PAKTG2525B</t>
        </is>
      </c>
      <c r="O43" s="6" t="inlineStr">
        <is>
          <t>cust0292@mail.com</t>
        </is>
      </c>
      <c r="P43" s="6" t="inlineStr">
        <is>
          <t>VARA0014626</t>
        </is>
      </c>
      <c r="Q43" s="8" t="n">
        <v>3759.02</v>
      </c>
      <c r="R43" s="6" t="inlineStr">
        <is>
          <t>N</t>
        </is>
      </c>
      <c r="S43" s="6" t="inlineStr"/>
      <c r="T43" s="8" t="n">
        <v>0</v>
      </c>
    </row>
    <row r="44">
      <c r="A44" s="6" t="inlineStr">
        <is>
          <t>REQ-00024</t>
        </is>
      </c>
      <c r="B44" s="6" t="inlineStr">
        <is>
          <t>31608230000024</t>
        </is>
      </c>
      <c r="C44" s="6" t="inlineStr">
        <is>
          <t>fd508175-47e4-4db9-9acc-f5b2c60a8ea5</t>
        </is>
      </c>
      <c r="D44" s="6" t="inlineStr">
        <is>
          <t>INC-0024-03</t>
        </is>
      </c>
      <c r="E44" s="6" t="inlineStr">
        <is>
          <t>6420593040785</t>
        </is>
      </c>
      <c r="F44" s="6" t="n">
        <v>8</v>
      </c>
      <c r="G44" s="6" t="inlineStr">
        <is>
          <t>96522395590599</t>
        </is>
      </c>
      <c r="H44" s="8" t="n">
        <v>9999.58</v>
      </c>
      <c r="I44" s="6" t="inlineStr">
        <is>
          <t>2025-10-23 07:05:00</t>
        </is>
      </c>
      <c r="J44" s="8" t="n">
        <v>9999.58</v>
      </c>
      <c r="K44" s="6" t="inlineStr">
        <is>
          <t>40001</t>
        </is>
      </c>
      <c r="L44" s="6" t="inlineStr">
        <is>
          <t>Account not found</t>
        </is>
      </c>
      <c r="M44" s="6" t="inlineStr">
        <is>
          <t>0000000000</t>
        </is>
      </c>
      <c r="N44" s="6" t="inlineStr">
        <is>
          <t>layer 0</t>
        </is>
      </c>
      <c r="O44" s="6" t="inlineStr">
        <is>
          <t>layer 0</t>
        </is>
      </c>
      <c r="P44" s="6" t="inlineStr">
        <is>
          <t>layer 0</t>
        </is>
      </c>
      <c r="Q44" s="8" t="n">
        <v>0</v>
      </c>
      <c r="R44" s="6" t="inlineStr">
        <is>
          <t>N</t>
        </is>
      </c>
      <c r="S44" s="6" t="inlineStr"/>
      <c r="T44" s="8" t="n">
        <v>0</v>
      </c>
    </row>
    <row r="45">
      <c r="A45" s="6" t="inlineStr">
        <is>
          <t>REQ-00025</t>
        </is>
      </c>
      <c r="B45" s="6" t="inlineStr">
        <is>
          <t>31608230000025</t>
        </is>
      </c>
      <c r="C45" s="6" t="inlineStr">
        <is>
          <t>e6020150-28c4-4133-b8bf-8b84494d3c11</t>
        </is>
      </c>
      <c r="D45" s="6" t="inlineStr">
        <is>
          <t>INC-0025-01</t>
        </is>
      </c>
      <c r="E45" s="6" t="inlineStr">
        <is>
          <t>3917251355215</t>
        </is>
      </c>
      <c r="F45" s="6" t="n">
        <v>8</v>
      </c>
      <c r="G45" s="6" t="inlineStr">
        <is>
          <t>76267658617932</t>
        </is>
      </c>
      <c r="H45" s="8" t="n">
        <v>500.01</v>
      </c>
      <c r="I45" s="6" t="inlineStr">
        <is>
          <t>2025-10-16 18:32:00</t>
        </is>
      </c>
      <c r="J45" s="8" t="n">
        <v>500.01</v>
      </c>
      <c r="K45" s="6" t="inlineStr">
        <is>
          <t>20000</t>
        </is>
      </c>
      <c r="L45" s="6" t="inlineStr">
        <is>
          <t>Hold placed successfully</t>
        </is>
      </c>
      <c r="M45" s="6" t="inlineStr">
        <is>
          <t>0000000000</t>
        </is>
      </c>
      <c r="N45" s="6" t="inlineStr">
        <is>
          <t>layer 0</t>
        </is>
      </c>
      <c r="O45" s="6" t="inlineStr">
        <is>
          <t>layer 0</t>
        </is>
      </c>
      <c r="P45" s="6" t="inlineStr">
        <is>
          <t>layer 0</t>
        </is>
      </c>
      <c r="Q45" s="8" t="n">
        <v>0</v>
      </c>
      <c r="R45" s="6" t="inlineStr">
        <is>
          <t>N</t>
        </is>
      </c>
      <c r="S45" s="6" t="inlineStr">
        <is>
          <t>LIEN1158693806</t>
        </is>
      </c>
      <c r="T45" s="8" t="n">
        <v>500.01</v>
      </c>
    </row>
    <row r="46">
      <c r="A46" s="6" t="inlineStr">
        <is>
          <t>REQ-00025</t>
        </is>
      </c>
      <c r="B46" s="6" t="inlineStr">
        <is>
          <t>31608230000025</t>
        </is>
      </c>
      <c r="C46" s="6" t="inlineStr">
        <is>
          <t>e6020150-28c4-4133-b8bf-8b84494d3c11</t>
        </is>
      </c>
      <c r="D46" s="6" t="inlineStr">
        <is>
          <t>INC-0025-02</t>
        </is>
      </c>
      <c r="E46" s="6" t="inlineStr">
        <is>
          <t>7104054115262</t>
        </is>
      </c>
      <c r="F46" s="6" t="n">
        <v>36</v>
      </c>
      <c r="G46" s="6" t="inlineStr">
        <is>
          <t>01533688444310</t>
        </is>
      </c>
      <c r="H46" s="8" t="n">
        <v>4999.08</v>
      </c>
      <c r="I46" s="6" t="inlineStr">
        <is>
          <t>2025-10-16 18:09:00</t>
        </is>
      </c>
      <c r="J46" s="8" t="n">
        <v>4999.08</v>
      </c>
      <c r="K46" s="6" t="inlineStr">
        <is>
          <t>20000</t>
        </is>
      </c>
      <c r="L46" s="6" t="inlineStr">
        <is>
          <t>Hold placed successfully</t>
        </is>
      </c>
      <c r="M46" s="6" t="inlineStr">
        <is>
          <t>0000000000</t>
        </is>
      </c>
      <c r="N46" s="6" t="inlineStr">
        <is>
          <t>layer 0</t>
        </is>
      </c>
      <c r="O46" s="6" t="inlineStr">
        <is>
          <t>layer 0</t>
        </is>
      </c>
      <c r="P46" s="6" t="inlineStr">
        <is>
          <t>layer 0</t>
        </is>
      </c>
      <c r="Q46" s="8" t="n">
        <v>0</v>
      </c>
      <c r="R46" s="6" t="inlineStr">
        <is>
          <t>N</t>
        </is>
      </c>
      <c r="S46" s="6" t="inlineStr">
        <is>
          <t>LIEN6879374160</t>
        </is>
      </c>
      <c r="T46" s="8" t="n">
        <v>4999.08</v>
      </c>
    </row>
    <row r="47">
      <c r="A47" s="6" t="inlineStr">
        <is>
          <t>REQ-00025</t>
        </is>
      </c>
      <c r="B47" s="6" t="inlineStr">
        <is>
          <t>31608230000025</t>
        </is>
      </c>
      <c r="C47" s="6" t="inlineStr">
        <is>
          <t>e6020150-28c4-4133-b8bf-8b84494d3c11</t>
        </is>
      </c>
      <c r="D47" s="6" t="inlineStr">
        <is>
          <t>INC-0025-03</t>
        </is>
      </c>
      <c r="E47" s="6" t="inlineStr">
        <is>
          <t>6987205061497</t>
        </is>
      </c>
      <c r="F47" s="6" t="n">
        <v>12</v>
      </c>
      <c r="G47" s="6" t="inlineStr">
        <is>
          <t>74186256527047</t>
        </is>
      </c>
      <c r="H47" s="8" t="n">
        <v>99.09999999999999</v>
      </c>
      <c r="I47" s="6" t="inlineStr">
        <is>
          <t>2025-10-16 18:52:00</t>
        </is>
      </c>
      <c r="J47" s="8" t="n">
        <v>99.09999999999999</v>
      </c>
      <c r="K47" s="6" t="inlineStr">
        <is>
          <t>20000</t>
        </is>
      </c>
      <c r="L47" s="6" t="inlineStr">
        <is>
          <t>Hold placed successfully</t>
        </is>
      </c>
      <c r="M47" s="6" t="inlineStr">
        <is>
          <t>0000000000</t>
        </is>
      </c>
      <c r="N47" s="6" t="inlineStr">
        <is>
          <t>layer 0</t>
        </is>
      </c>
      <c r="O47" s="6" t="inlineStr">
        <is>
          <t>layer 0</t>
        </is>
      </c>
      <c r="P47" s="6" t="inlineStr">
        <is>
          <t>layer 0</t>
        </is>
      </c>
      <c r="Q47" s="8" t="n">
        <v>0</v>
      </c>
      <c r="R47" s="6" t="inlineStr">
        <is>
          <t>N</t>
        </is>
      </c>
      <c r="S47" s="6" t="inlineStr">
        <is>
          <t>LIEN8992172233</t>
        </is>
      </c>
      <c r="T47" s="8" t="n">
        <v>99.09999999999999</v>
      </c>
    </row>
    <row r="48">
      <c r="A48" s="6" t="inlineStr">
        <is>
          <t>REQ-00026</t>
        </is>
      </c>
      <c r="B48" s="6" t="inlineStr">
        <is>
          <t>31608230000026</t>
        </is>
      </c>
      <c r="C48" s="6" t="inlineStr">
        <is>
          <t>0c3b8a7e-84e0-4bf7-90b1-90943ee41090</t>
        </is>
      </c>
      <c r="D48" s="6" t="inlineStr">
        <is>
          <t>INC-0026-01</t>
        </is>
      </c>
      <c r="E48" s="6" t="inlineStr">
        <is>
          <t>4856467997024</t>
        </is>
      </c>
      <c r="F48" s="6" t="n">
        <v>14</v>
      </c>
      <c r="G48" s="6" t="inlineStr">
        <is>
          <t>45054447132475</t>
        </is>
      </c>
      <c r="H48" s="8" t="n">
        <v>500.14</v>
      </c>
      <c r="I48" s="6" t="inlineStr">
        <is>
          <t>2025-10-28 13:31:00</t>
        </is>
      </c>
      <c r="J48" s="8" t="n">
        <v>500.14</v>
      </c>
      <c r="K48" s="6" t="inlineStr">
        <is>
          <t>20000</t>
        </is>
      </c>
      <c r="L48" s="6" t="inlineStr">
        <is>
          <t>Hold placed successfully</t>
        </is>
      </c>
      <c r="M48" s="6" t="inlineStr">
        <is>
          <t>9289023303</t>
        </is>
      </c>
      <c r="N48" s="6" t="inlineStr">
        <is>
          <t>BOBLW3457Q</t>
        </is>
      </c>
      <c r="O48" s="6" t="inlineStr">
        <is>
          <t>cust6103@mail.com</t>
        </is>
      </c>
      <c r="P48" s="6" t="inlineStr">
        <is>
          <t>UCBA0065307</t>
        </is>
      </c>
      <c r="Q48" s="8" t="n">
        <v>1548.57</v>
      </c>
      <c r="R48" s="6" t="inlineStr">
        <is>
          <t>N</t>
        </is>
      </c>
      <c r="S48" s="6" t="inlineStr">
        <is>
          <t>LIEN6785082148</t>
        </is>
      </c>
      <c r="T48" s="8" t="n">
        <v>500.14</v>
      </c>
    </row>
    <row r="49">
      <c r="A49" s="6" t="inlineStr">
        <is>
          <t>REQ-00027</t>
        </is>
      </c>
      <c r="B49" s="6" t="inlineStr">
        <is>
          <t>31608230000027</t>
        </is>
      </c>
      <c r="C49" s="6" t="inlineStr">
        <is>
          <t>4ad56b6f-7e0f-4744-a89a-aed047152451</t>
        </is>
      </c>
      <c r="D49" s="6" t="inlineStr">
        <is>
          <t>INC-0027-01</t>
        </is>
      </c>
      <c r="E49" s="6" t="inlineStr">
        <is>
          <t>4466574374896</t>
        </is>
      </c>
      <c r="F49" s="6" t="n">
        <v>12</v>
      </c>
      <c r="G49" s="6" t="inlineStr">
        <is>
          <t>54443283096520</t>
        </is>
      </c>
      <c r="H49" s="8" t="n">
        <v>1250.1</v>
      </c>
      <c r="I49" s="6" t="inlineStr">
        <is>
          <t>2025-10-13 12:32:00</t>
        </is>
      </c>
      <c r="J49" s="8" t="n">
        <v>1250.1</v>
      </c>
      <c r="K49" s="6" t="inlineStr">
        <is>
          <t>40001</t>
        </is>
      </c>
      <c r="L49" s="6" t="inlineStr">
        <is>
          <t>Account not found</t>
        </is>
      </c>
      <c r="M49" s="6" t="inlineStr">
        <is>
          <t>9296666760</t>
        </is>
      </c>
      <c r="N49" s="6" t="inlineStr">
        <is>
          <t>BRGXL0583A</t>
        </is>
      </c>
      <c r="O49" s="6" t="inlineStr">
        <is>
          <t>cust0335@mail.com</t>
        </is>
      </c>
      <c r="P49" s="6" t="inlineStr">
        <is>
          <t>CNRB0417154</t>
        </is>
      </c>
      <c r="Q49" s="8" t="n">
        <v>1216.51</v>
      </c>
      <c r="R49" s="6" t="inlineStr">
        <is>
          <t>N</t>
        </is>
      </c>
      <c r="S49" s="6" t="inlineStr"/>
      <c r="T49" s="8" t="n">
        <v>0</v>
      </c>
    </row>
    <row r="50">
      <c r="A50" s="6" t="inlineStr">
        <is>
          <t>REQ-00027</t>
        </is>
      </c>
      <c r="B50" s="6" t="inlineStr">
        <is>
          <t>31608230000027</t>
        </is>
      </c>
      <c r="C50" s="6" t="inlineStr">
        <is>
          <t>4ad56b6f-7e0f-4744-a89a-aed047152451</t>
        </is>
      </c>
      <c r="D50" s="6" t="inlineStr">
        <is>
          <t>INC-0027-02</t>
        </is>
      </c>
      <c r="E50" s="6" t="inlineStr">
        <is>
          <t>7446660993538</t>
        </is>
      </c>
      <c r="F50" s="6" t="n">
        <v>12</v>
      </c>
      <c r="G50" s="6" t="inlineStr">
        <is>
          <t>24825135346554</t>
        </is>
      </c>
      <c r="H50" s="8" t="n">
        <v>4999.78</v>
      </c>
      <c r="I50" s="6" t="inlineStr">
        <is>
          <t>2025-10-13 12:46:00</t>
        </is>
      </c>
      <c r="J50" s="8" t="n">
        <v>4999.78</v>
      </c>
      <c r="K50" s="6" t="inlineStr">
        <is>
          <t>40001</t>
        </is>
      </c>
      <c r="L50" s="6" t="inlineStr">
        <is>
          <t>Account not found</t>
        </is>
      </c>
      <c r="M50" s="6" t="inlineStr">
        <is>
          <t>9168942104</t>
        </is>
      </c>
      <c r="N50" s="6" t="inlineStr">
        <is>
          <t>JOXQT8562K</t>
        </is>
      </c>
      <c r="O50" s="6" t="inlineStr">
        <is>
          <t>cust7532@mail.com</t>
        </is>
      </c>
      <c r="P50" s="6" t="inlineStr">
        <is>
          <t>CNRB0282417</t>
        </is>
      </c>
      <c r="Q50" s="8" t="n">
        <v>4714.46</v>
      </c>
      <c r="R50" s="6" t="inlineStr">
        <is>
          <t>N</t>
        </is>
      </c>
      <c r="S50" s="6" t="inlineStr"/>
      <c r="T50" s="8" t="n">
        <v>0</v>
      </c>
    </row>
    <row r="51">
      <c r="A51" s="6" t="inlineStr">
        <is>
          <t>REQ-00027</t>
        </is>
      </c>
      <c r="B51" s="6" t="inlineStr">
        <is>
          <t>31608230000027</t>
        </is>
      </c>
      <c r="C51" s="6" t="inlineStr">
        <is>
          <t>4ad56b6f-7e0f-4744-a89a-aed047152451</t>
        </is>
      </c>
      <c r="D51" s="6" t="inlineStr">
        <is>
          <t>INC-0027-03</t>
        </is>
      </c>
      <c r="E51" s="6" t="inlineStr">
        <is>
          <t>9471709991738</t>
        </is>
      </c>
      <c r="F51" s="6" t="n">
        <v>12</v>
      </c>
      <c r="G51" s="6" t="inlineStr">
        <is>
          <t>69725217525007</t>
        </is>
      </c>
      <c r="H51" s="8" t="n">
        <v>35.87</v>
      </c>
      <c r="I51" s="6" t="inlineStr">
        <is>
          <t>2025-10-13 12:40:00</t>
        </is>
      </c>
      <c r="J51" s="8" t="n">
        <v>35.87</v>
      </c>
      <c r="K51" s="6" t="inlineStr">
        <is>
          <t>40001</t>
        </is>
      </c>
      <c r="L51" s="6" t="inlineStr">
        <is>
          <t>Account not found</t>
        </is>
      </c>
      <c r="M51" s="6" t="inlineStr">
        <is>
          <t>9603323098</t>
        </is>
      </c>
      <c r="N51" s="6" t="inlineStr">
        <is>
          <t>FDLWU0648T</t>
        </is>
      </c>
      <c r="O51" s="6" t="inlineStr">
        <is>
          <t>cust0901@mail.com</t>
        </is>
      </c>
      <c r="P51" s="6" t="inlineStr">
        <is>
          <t>CNRB0602235</t>
        </is>
      </c>
      <c r="Q51" s="8" t="n">
        <v>3094.62</v>
      </c>
      <c r="R51" s="6" t="inlineStr">
        <is>
          <t>N</t>
        </is>
      </c>
      <c r="S51" s="6" t="inlineStr"/>
      <c r="T51" s="8" t="n">
        <v>0</v>
      </c>
    </row>
    <row r="52">
      <c r="A52" s="6" t="inlineStr">
        <is>
          <t>REQ-00028</t>
        </is>
      </c>
      <c r="B52" s="6" t="inlineStr">
        <is>
          <t>31608230000028</t>
        </is>
      </c>
      <c r="C52" s="6" t="inlineStr">
        <is>
          <t>e15f19c7-2369-41e3-a3b6-5ec3f50b7c2f</t>
        </is>
      </c>
      <c r="D52" s="6" t="inlineStr">
        <is>
          <t>INC-0028-01</t>
        </is>
      </c>
      <c r="E52" s="6" t="inlineStr">
        <is>
          <t>8356420873753</t>
        </is>
      </c>
      <c r="F52" s="6" t="n">
        <v>8</v>
      </c>
      <c r="G52" s="6" t="inlineStr">
        <is>
          <t>14374470120455</t>
        </is>
      </c>
      <c r="H52" s="8" t="n">
        <v>35.01</v>
      </c>
      <c r="I52" s="6" t="inlineStr">
        <is>
          <t>2025-10-10 21:43:00</t>
        </is>
      </c>
      <c r="J52" s="8" t="n">
        <v>35.01</v>
      </c>
      <c r="K52" s="6" t="inlineStr">
        <is>
          <t>20000</t>
        </is>
      </c>
      <c r="L52" s="6" t="inlineStr">
        <is>
          <t>Hold placed successfully</t>
        </is>
      </c>
      <c r="M52" s="6" t="inlineStr">
        <is>
          <t>0000000000</t>
        </is>
      </c>
      <c r="N52" s="6" t="inlineStr">
        <is>
          <t>layer 0</t>
        </is>
      </c>
      <c r="O52" s="6" t="inlineStr">
        <is>
          <t>layer 0</t>
        </is>
      </c>
      <c r="P52" s="6" t="inlineStr">
        <is>
          <t>layer 0</t>
        </is>
      </c>
      <c r="Q52" s="8" t="n">
        <v>0</v>
      </c>
      <c r="R52" s="6" t="inlineStr">
        <is>
          <t>N</t>
        </is>
      </c>
      <c r="S52" s="6" t="inlineStr">
        <is>
          <t>LIEN1670145089</t>
        </is>
      </c>
      <c r="T52" s="8" t="n">
        <v>35.01</v>
      </c>
    </row>
    <row r="53">
      <c r="A53" s="6" t="inlineStr">
        <is>
          <t>REQ-00028</t>
        </is>
      </c>
      <c r="B53" s="6" t="inlineStr">
        <is>
          <t>31608230000028</t>
        </is>
      </c>
      <c r="C53" s="6" t="inlineStr">
        <is>
          <t>e15f19c7-2369-41e3-a3b6-5ec3f50b7c2f</t>
        </is>
      </c>
      <c r="D53" s="6" t="inlineStr">
        <is>
          <t>INC-0028-02</t>
        </is>
      </c>
      <c r="E53" s="6" t="inlineStr">
        <is>
          <t>6110022557941</t>
        </is>
      </c>
      <c r="F53" s="6" t="n">
        <v>14</v>
      </c>
      <c r="G53" s="6" t="inlineStr">
        <is>
          <t>21202169797296</t>
        </is>
      </c>
      <c r="H53" s="8" t="n">
        <v>250.81</v>
      </c>
      <c r="I53" s="6" t="inlineStr">
        <is>
          <t>2025-10-11 01:06:00</t>
        </is>
      </c>
      <c r="J53" s="8" t="n">
        <v>250.81</v>
      </c>
      <c r="K53" s="6" t="inlineStr">
        <is>
          <t>20000</t>
        </is>
      </c>
      <c r="L53" s="6" t="inlineStr">
        <is>
          <t>Hold placed successfully</t>
        </is>
      </c>
      <c r="M53" s="6" t="inlineStr">
        <is>
          <t>0000000000</t>
        </is>
      </c>
      <c r="N53" s="6" t="inlineStr">
        <is>
          <t>layer 0</t>
        </is>
      </c>
      <c r="O53" s="6" t="inlineStr">
        <is>
          <t>layer 0</t>
        </is>
      </c>
      <c r="P53" s="6" t="inlineStr">
        <is>
          <t>layer 0</t>
        </is>
      </c>
      <c r="Q53" s="8" t="n">
        <v>0</v>
      </c>
      <c r="R53" s="6" t="inlineStr">
        <is>
          <t>N</t>
        </is>
      </c>
      <c r="S53" s="6" t="inlineStr">
        <is>
          <t>LIEN3588916375</t>
        </is>
      </c>
      <c r="T53" s="8" t="n">
        <v>250.81</v>
      </c>
    </row>
    <row r="54">
      <c r="A54" s="6" t="inlineStr">
        <is>
          <t>REQ-00029</t>
        </is>
      </c>
      <c r="B54" s="6" t="inlineStr">
        <is>
          <t>31608230000029</t>
        </is>
      </c>
      <c r="C54" s="6" t="inlineStr">
        <is>
          <t>47f45dd2-b53d-45e3-8eed-29c832f5cb8b</t>
        </is>
      </c>
      <c r="D54" s="6" t="inlineStr">
        <is>
          <t>INC-0029-01</t>
        </is>
      </c>
      <c r="E54" s="6" t="inlineStr">
        <is>
          <t>0166088019948</t>
        </is>
      </c>
      <c r="F54" s="6" t="n">
        <v>13</v>
      </c>
      <c r="G54" s="6" t="inlineStr">
        <is>
          <t>99757113055488</t>
        </is>
      </c>
      <c r="H54" s="8" t="n">
        <v>1250.21</v>
      </c>
      <c r="I54" s="6" t="inlineStr">
        <is>
          <t>2025-10-07 01:14:00</t>
        </is>
      </c>
      <c r="J54" s="8" t="n">
        <v>1250.21</v>
      </c>
      <c r="K54" s="6" t="inlineStr">
        <is>
          <t>20000</t>
        </is>
      </c>
      <c r="L54" s="6" t="inlineStr">
        <is>
          <t>Hold placed successfully</t>
        </is>
      </c>
      <c r="M54" s="6" t="inlineStr">
        <is>
          <t>9333945228</t>
        </is>
      </c>
      <c r="N54" s="6" t="inlineStr">
        <is>
          <t>RWUKW1587S</t>
        </is>
      </c>
      <c r="O54" s="6" t="inlineStr">
        <is>
          <t>cust9684@mail.com</t>
        </is>
      </c>
      <c r="P54" s="6" t="inlineStr">
        <is>
          <t>UBIN0503758</t>
        </is>
      </c>
      <c r="Q54" s="8" t="n">
        <v>4326.12</v>
      </c>
      <c r="R54" s="6" t="inlineStr">
        <is>
          <t>N</t>
        </is>
      </c>
      <c r="S54" s="6" t="inlineStr">
        <is>
          <t>LIEN9958669346</t>
        </is>
      </c>
      <c r="T54" s="8" t="n">
        <v>1250.21</v>
      </c>
    </row>
    <row r="55">
      <c r="A55" s="6" t="inlineStr">
        <is>
          <t>REQ-00029</t>
        </is>
      </c>
      <c r="B55" s="6" t="inlineStr">
        <is>
          <t>31608230000029</t>
        </is>
      </c>
      <c r="C55" s="6" t="inlineStr">
        <is>
          <t>47f45dd2-b53d-45e3-8eed-29c832f5cb8b</t>
        </is>
      </c>
      <c r="D55" s="6" t="inlineStr">
        <is>
          <t>INC-0029-02</t>
        </is>
      </c>
      <c r="E55" s="6" t="inlineStr">
        <is>
          <t>5102726149331</t>
        </is>
      </c>
      <c r="F55" s="6" t="n">
        <v>11</v>
      </c>
      <c r="G55" s="6" t="inlineStr">
        <is>
          <t>77982708086978</t>
        </is>
      </c>
      <c r="H55" s="8" t="n">
        <v>9999.389999999999</v>
      </c>
      <c r="I55" s="6" t="inlineStr">
        <is>
          <t>2025-10-06 23:39:00</t>
        </is>
      </c>
      <c r="J55" s="8" t="n">
        <v>9999.389999999999</v>
      </c>
      <c r="K55" s="6" t="inlineStr">
        <is>
          <t>20000</t>
        </is>
      </c>
      <c r="L55" s="6" t="inlineStr">
        <is>
          <t>Hold placed successfully</t>
        </is>
      </c>
      <c r="M55" s="6" t="inlineStr">
        <is>
          <t>9608106200</t>
        </is>
      </c>
      <c r="N55" s="6" t="inlineStr">
        <is>
          <t>GIYZF4420W</t>
        </is>
      </c>
      <c r="O55" s="6" t="inlineStr">
        <is>
          <t>cust4380@mail.com</t>
        </is>
      </c>
      <c r="P55" s="6" t="inlineStr">
        <is>
          <t>IDFB0516091</t>
        </is>
      </c>
      <c r="Q55" s="8" t="n">
        <v>1472.75</v>
      </c>
      <c r="R55" s="6" t="inlineStr">
        <is>
          <t>N</t>
        </is>
      </c>
      <c r="S55" s="6" t="inlineStr">
        <is>
          <t>LIEN4722698485</t>
        </is>
      </c>
      <c r="T55" s="8" t="n">
        <v>9999.389999999999</v>
      </c>
    </row>
    <row r="56">
      <c r="A56" s="6" t="inlineStr">
        <is>
          <t>REQ-00030</t>
        </is>
      </c>
      <c r="B56" s="6" t="inlineStr">
        <is>
          <t>31608230000030</t>
        </is>
      </c>
      <c r="C56" s="6" t="inlineStr">
        <is>
          <t>38c47fb7-350b-4e16-bd31-1c77d36f369d</t>
        </is>
      </c>
      <c r="D56" s="6" t="inlineStr">
        <is>
          <t>INC-0030-01</t>
        </is>
      </c>
      <c r="E56" s="6" t="inlineStr">
        <is>
          <t>2816064842294</t>
        </is>
      </c>
      <c r="F56" s="6" t="n">
        <v>9</v>
      </c>
      <c r="G56" s="6" t="inlineStr">
        <is>
          <t>98515832818268</t>
        </is>
      </c>
      <c r="H56" s="8" t="n">
        <v>35.33</v>
      </c>
      <c r="I56" s="6" t="inlineStr">
        <is>
          <t>2025-10-04 23:30:00</t>
        </is>
      </c>
      <c r="J56" s="8" t="n">
        <v>35.33</v>
      </c>
      <c r="K56" s="6" t="inlineStr">
        <is>
          <t>40001</t>
        </is>
      </c>
      <c r="L56" s="6" t="inlineStr">
        <is>
          <t>Account not found</t>
        </is>
      </c>
      <c r="M56" s="6" t="inlineStr">
        <is>
          <t>0000000000</t>
        </is>
      </c>
      <c r="N56" s="6" t="inlineStr">
        <is>
          <t>layer 0</t>
        </is>
      </c>
      <c r="O56" s="6" t="inlineStr">
        <is>
          <t>layer 0</t>
        </is>
      </c>
      <c r="P56" s="6" t="inlineStr">
        <is>
          <t>layer 0</t>
        </is>
      </c>
      <c r="Q56" s="8" t="n">
        <v>0</v>
      </c>
      <c r="R56" s="6" t="inlineStr">
        <is>
          <t>N</t>
        </is>
      </c>
      <c r="S56" s="6" t="inlineStr"/>
      <c r="T56" s="8" t="n">
        <v>0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1" customWidth="1" min="4" max="4"/>
    <col width="12" customWidth="1" min="5" max="5"/>
  </cols>
  <sheetData>
    <row r="1" ht="22" customHeight="1">
      <c r="A1" s="4" t="inlineStr">
        <is>
          <t>request_id</t>
        </is>
      </c>
      <c r="B1" s="4" t="inlineStr">
        <is>
          <t>i4c_response_code</t>
        </is>
      </c>
      <c r="C1" s="4" t="inlineStr">
        <is>
          <t>i4c_message</t>
        </is>
      </c>
      <c r="D1" s="4" t="inlineStr">
        <is>
          <t>received_at</t>
        </is>
      </c>
      <c r="E1" s="4" t="inlineStr">
        <is>
          <t>error_flag</t>
        </is>
      </c>
    </row>
    <row r="2">
      <c r="A2" s="6" t="inlineStr">
        <is>
          <t>REQ-00001</t>
        </is>
      </c>
      <c r="B2" s="6" t="inlineStr">
        <is>
          <t>00</t>
        </is>
      </c>
      <c r="C2" s="6" t="inlineStr">
        <is>
          <t>Success</t>
        </is>
      </c>
      <c r="D2" s="7" t="n">
        <v>45944.27921296296</v>
      </c>
      <c r="E2" s="6" t="inlineStr">
        <is>
          <t>N</t>
        </is>
      </c>
    </row>
    <row r="3">
      <c r="A3" s="6" t="inlineStr">
        <is>
          <t>REQ-00002</t>
        </is>
      </c>
      <c r="B3" s="6" t="inlineStr">
        <is>
          <t>00</t>
        </is>
      </c>
      <c r="C3" s="6" t="inlineStr">
        <is>
          <t>Success</t>
        </is>
      </c>
      <c r="D3" s="7" t="n">
        <v>45950.08056712963</v>
      </c>
      <c r="E3" s="6" t="inlineStr">
        <is>
          <t>N</t>
        </is>
      </c>
    </row>
    <row r="4">
      <c r="A4" s="6" t="inlineStr">
        <is>
          <t>REQ-00003</t>
        </is>
      </c>
      <c r="B4" s="6" t="inlineStr">
        <is>
          <t>00</t>
        </is>
      </c>
      <c r="C4" s="6" t="inlineStr">
        <is>
          <t>Success</t>
        </is>
      </c>
      <c r="D4" s="7" t="n">
        <v>45955.94728009259</v>
      </c>
      <c r="E4" s="6" t="inlineStr">
        <is>
          <t>N</t>
        </is>
      </c>
    </row>
    <row r="5">
      <c r="A5" s="6" t="inlineStr">
        <is>
          <t>REQ-00004</t>
        </is>
      </c>
      <c r="B5" s="6" t="inlineStr">
        <is>
          <t>00</t>
        </is>
      </c>
      <c r="C5" s="6" t="inlineStr">
        <is>
          <t>Success</t>
        </is>
      </c>
      <c r="D5" s="7" t="n">
        <v>45936.96600694444</v>
      </c>
      <c r="E5" s="6" t="inlineStr">
        <is>
          <t>N</t>
        </is>
      </c>
    </row>
    <row r="6">
      <c r="A6" s="6" t="inlineStr">
        <is>
          <t>REQ-00005</t>
        </is>
      </c>
      <c r="B6" s="6" t="inlineStr">
        <is>
          <t>00</t>
        </is>
      </c>
      <c r="C6" s="6" t="inlineStr">
        <is>
          <t>Success</t>
        </is>
      </c>
      <c r="D6" s="7" t="n">
        <v>45957.1743287037</v>
      </c>
      <c r="E6" s="6" t="inlineStr">
        <is>
          <t>N</t>
        </is>
      </c>
    </row>
    <row r="7">
      <c r="A7" s="6" t="inlineStr">
        <is>
          <t>REQ-00006</t>
        </is>
      </c>
      <c r="B7" s="6" t="inlineStr">
        <is>
          <t>00</t>
        </is>
      </c>
      <c r="C7" s="6" t="inlineStr">
        <is>
          <t>Success</t>
        </is>
      </c>
      <c r="D7" s="7" t="n">
        <v>45947.58199074074</v>
      </c>
      <c r="E7" s="6" t="inlineStr">
        <is>
          <t>N</t>
        </is>
      </c>
    </row>
    <row r="8">
      <c r="A8" s="6" t="inlineStr">
        <is>
          <t>REQ-00007</t>
        </is>
      </c>
      <c r="B8" s="6" t="inlineStr">
        <is>
          <t>00</t>
        </is>
      </c>
      <c r="C8" s="6" t="inlineStr">
        <is>
          <t>Success</t>
        </is>
      </c>
      <c r="D8" s="7" t="n">
        <v>45951.58059027778</v>
      </c>
      <c r="E8" s="6" t="inlineStr">
        <is>
          <t>N</t>
        </is>
      </c>
    </row>
    <row r="9">
      <c r="A9" s="6" t="inlineStr">
        <is>
          <t>REQ-00008</t>
        </is>
      </c>
      <c r="B9" s="6" t="inlineStr">
        <is>
          <t>00</t>
        </is>
      </c>
      <c r="C9" s="6" t="inlineStr">
        <is>
          <t>Success</t>
        </is>
      </c>
      <c r="D9" s="7" t="n">
        <v>45951.97782407407</v>
      </c>
      <c r="E9" s="6" t="inlineStr">
        <is>
          <t>N</t>
        </is>
      </c>
    </row>
    <row r="10">
      <c r="A10" s="6" t="inlineStr">
        <is>
          <t>REQ-00009</t>
        </is>
      </c>
      <c r="B10" s="6" t="inlineStr">
        <is>
          <t>00</t>
        </is>
      </c>
      <c r="C10" s="6" t="inlineStr">
        <is>
          <t>Success</t>
        </is>
      </c>
      <c r="D10" s="7" t="n">
        <v>45960.41185185185</v>
      </c>
      <c r="E10" s="6" t="inlineStr">
        <is>
          <t>N</t>
        </is>
      </c>
    </row>
    <row r="11">
      <c r="A11" s="6" t="inlineStr">
        <is>
          <t>REQ-00010</t>
        </is>
      </c>
      <c r="B11" s="6" t="inlineStr">
        <is>
          <t>00</t>
        </is>
      </c>
      <c r="C11" s="6" t="inlineStr">
        <is>
          <t>Success</t>
        </is>
      </c>
      <c r="D11" s="7" t="n">
        <v>45948.36528935185</v>
      </c>
      <c r="E11" s="6" t="inlineStr">
        <is>
          <t>N</t>
        </is>
      </c>
    </row>
    <row r="12">
      <c r="A12" s="6" t="inlineStr">
        <is>
          <t>REQ-00011</t>
        </is>
      </c>
      <c r="B12" s="6" t="inlineStr">
        <is>
          <t>00</t>
        </is>
      </c>
      <c r="C12" s="6" t="inlineStr">
        <is>
          <t>Success</t>
        </is>
      </c>
      <c r="D12" s="7" t="n">
        <v>45933.51320601852</v>
      </c>
      <c r="E12" s="6" t="inlineStr">
        <is>
          <t>N</t>
        </is>
      </c>
    </row>
    <row r="13">
      <c r="A13" s="6" t="inlineStr">
        <is>
          <t>REQ-00012</t>
        </is>
      </c>
      <c r="B13" s="6" t="inlineStr">
        <is>
          <t>00</t>
        </is>
      </c>
      <c r="C13" s="6" t="inlineStr">
        <is>
          <t>Success</t>
        </is>
      </c>
      <c r="D13" s="7" t="n">
        <v>45946.89862268518</v>
      </c>
      <c r="E13" s="6" t="inlineStr">
        <is>
          <t>N</t>
        </is>
      </c>
    </row>
    <row r="14">
      <c r="A14" s="6" t="inlineStr">
        <is>
          <t>REQ-00013</t>
        </is>
      </c>
      <c r="B14" s="6" t="inlineStr">
        <is>
          <t>99</t>
        </is>
      </c>
      <c r="C14" s="6" t="inlineStr">
        <is>
          <t>Temporary failure; retry later</t>
        </is>
      </c>
      <c r="D14" s="7" t="n">
        <v>45955.42158564815</v>
      </c>
      <c r="E14" s="6" t="inlineStr">
        <is>
          <t>Y</t>
        </is>
      </c>
    </row>
    <row r="15">
      <c r="A15" s="6" t="inlineStr">
        <is>
          <t>REQ-00014</t>
        </is>
      </c>
      <c r="B15" s="6" t="inlineStr">
        <is>
          <t>00</t>
        </is>
      </c>
      <c r="C15" s="6" t="inlineStr">
        <is>
          <t>Success</t>
        </is>
      </c>
      <c r="D15" s="7" t="n">
        <v>45947.41393518518</v>
      </c>
      <c r="E15" s="6" t="inlineStr">
        <is>
          <t>N</t>
        </is>
      </c>
    </row>
    <row r="16">
      <c r="A16" s="6" t="inlineStr">
        <is>
          <t>REQ-00015</t>
        </is>
      </c>
      <c r="B16" s="6" t="inlineStr">
        <is>
          <t>00</t>
        </is>
      </c>
      <c r="C16" s="6" t="inlineStr">
        <is>
          <t>Success</t>
        </is>
      </c>
      <c r="D16" s="7" t="n">
        <v>45936.83197916667</v>
      </c>
      <c r="E16" s="6" t="inlineStr">
        <is>
          <t>N</t>
        </is>
      </c>
    </row>
    <row r="17">
      <c r="A17" s="6" t="inlineStr">
        <is>
          <t>REQ-00016</t>
        </is>
      </c>
      <c r="B17" s="6" t="inlineStr">
        <is>
          <t>00</t>
        </is>
      </c>
      <c r="C17" s="6" t="inlineStr">
        <is>
          <t>Success</t>
        </is>
      </c>
      <c r="D17" s="7" t="n">
        <v>45952.69864583333</v>
      </c>
      <c r="E17" s="6" t="inlineStr">
        <is>
          <t>N</t>
        </is>
      </c>
    </row>
    <row r="18">
      <c r="A18" s="6" t="inlineStr">
        <is>
          <t>REQ-00017</t>
        </is>
      </c>
      <c r="B18" s="6" t="inlineStr">
        <is>
          <t>00</t>
        </is>
      </c>
      <c r="C18" s="6" t="inlineStr">
        <is>
          <t>Success</t>
        </is>
      </c>
      <c r="D18" s="7" t="n">
        <v>45949.3840625</v>
      </c>
      <c r="E18" s="6" t="inlineStr">
        <is>
          <t>N</t>
        </is>
      </c>
    </row>
    <row r="19">
      <c r="A19" s="6" t="inlineStr">
        <is>
          <t>REQ-00018</t>
        </is>
      </c>
      <c r="B19" s="6" t="inlineStr">
        <is>
          <t>00</t>
        </is>
      </c>
      <c r="C19" s="6" t="inlineStr">
        <is>
          <t>Success</t>
        </is>
      </c>
      <c r="D19" s="7" t="n">
        <v>45948.86394675926</v>
      </c>
      <c r="E19" s="6" t="inlineStr">
        <is>
          <t>N</t>
        </is>
      </c>
    </row>
    <row r="20">
      <c r="A20" s="6" t="inlineStr">
        <is>
          <t>REQ-00019</t>
        </is>
      </c>
      <c r="B20" s="6" t="inlineStr">
        <is>
          <t>00</t>
        </is>
      </c>
      <c r="C20" s="6" t="inlineStr">
        <is>
          <t>Success</t>
        </is>
      </c>
      <c r="D20" s="7" t="n">
        <v>45938.26184027778</v>
      </c>
      <c r="E20" s="6" t="inlineStr">
        <is>
          <t>N</t>
        </is>
      </c>
    </row>
    <row r="21">
      <c r="A21" s="6" t="inlineStr">
        <is>
          <t>REQ-00020</t>
        </is>
      </c>
      <c r="B21" s="6" t="inlineStr">
        <is>
          <t>00</t>
        </is>
      </c>
      <c r="C21" s="6" t="inlineStr">
        <is>
          <t>Success</t>
        </is>
      </c>
      <c r="D21" s="7" t="n">
        <v>45936.93196759259</v>
      </c>
      <c r="E21" s="6" t="inlineStr">
        <is>
          <t>N</t>
        </is>
      </c>
    </row>
    <row r="22">
      <c r="A22" s="6" t="inlineStr">
        <is>
          <t>REQ-00021</t>
        </is>
      </c>
      <c r="B22" s="6" t="inlineStr">
        <is>
          <t>00</t>
        </is>
      </c>
      <c r="C22" s="6" t="inlineStr">
        <is>
          <t>Success</t>
        </is>
      </c>
      <c r="D22" s="7" t="n">
        <v>45937.79931712963</v>
      </c>
      <c r="E22" s="6" t="inlineStr">
        <is>
          <t>N</t>
        </is>
      </c>
    </row>
    <row r="23">
      <c r="A23" s="6" t="inlineStr">
        <is>
          <t>REQ-00022</t>
        </is>
      </c>
      <c r="B23" s="6" t="inlineStr">
        <is>
          <t>99</t>
        </is>
      </c>
      <c r="C23" s="6" t="inlineStr">
        <is>
          <t>Temporary failure; retry later</t>
        </is>
      </c>
      <c r="D23" s="7" t="n">
        <v>45937.11811342592</v>
      </c>
      <c r="E23" s="6" t="inlineStr">
        <is>
          <t>Y</t>
        </is>
      </c>
    </row>
    <row r="24">
      <c r="A24" s="6" t="inlineStr">
        <is>
          <t>REQ-00023</t>
        </is>
      </c>
      <c r="B24" s="6" t="inlineStr">
        <is>
          <t>00</t>
        </is>
      </c>
      <c r="C24" s="6" t="inlineStr">
        <is>
          <t>Success</t>
        </is>
      </c>
      <c r="D24" s="7" t="n">
        <v>45938.70350694445</v>
      </c>
      <c r="E24" s="6" t="inlineStr">
        <is>
          <t>N</t>
        </is>
      </c>
    </row>
    <row r="25">
      <c r="A25" s="6" t="inlineStr">
        <is>
          <t>REQ-00024</t>
        </is>
      </c>
      <c r="B25" s="6" t="inlineStr">
        <is>
          <t>00</t>
        </is>
      </c>
      <c r="C25" s="6" t="inlineStr">
        <is>
          <t>Success</t>
        </is>
      </c>
      <c r="D25" s="7" t="n">
        <v>45953.34380787037</v>
      </c>
      <c r="E25" s="6" t="inlineStr">
        <is>
          <t>N</t>
        </is>
      </c>
    </row>
    <row r="26">
      <c r="A26" s="6" t="inlineStr">
        <is>
          <t>REQ-00025</t>
        </is>
      </c>
      <c r="B26" s="6" t="inlineStr">
        <is>
          <t>00</t>
        </is>
      </c>
      <c r="C26" s="6" t="inlineStr">
        <is>
          <t>Success</t>
        </is>
      </c>
      <c r="D26" s="7" t="n">
        <v>45946.82778935185</v>
      </c>
      <c r="E26" s="6" t="inlineStr">
        <is>
          <t>N</t>
        </is>
      </c>
    </row>
    <row r="27">
      <c r="A27" s="6" t="inlineStr">
        <is>
          <t>REQ-00026</t>
        </is>
      </c>
      <c r="B27" s="6" t="inlineStr">
        <is>
          <t>00</t>
        </is>
      </c>
      <c r="C27" s="6" t="inlineStr">
        <is>
          <t>Success</t>
        </is>
      </c>
      <c r="D27" s="7" t="n">
        <v>45958.70491898148</v>
      </c>
      <c r="E27" s="6" t="inlineStr">
        <is>
          <t>N</t>
        </is>
      </c>
    </row>
    <row r="28">
      <c r="A28" s="6" t="inlineStr">
        <is>
          <t>REQ-00027</t>
        </is>
      </c>
      <c r="B28" s="6" t="inlineStr">
        <is>
          <t>00</t>
        </is>
      </c>
      <c r="C28" s="6" t="inlineStr">
        <is>
          <t>Success</t>
        </is>
      </c>
      <c r="D28" s="7" t="n">
        <v>45943.64167824074</v>
      </c>
      <c r="E28" s="6" t="inlineStr">
        <is>
          <t>N</t>
        </is>
      </c>
    </row>
    <row r="29">
      <c r="A29" s="6" t="inlineStr">
        <is>
          <t>REQ-00028</t>
        </is>
      </c>
      <c r="B29" s="6" t="inlineStr">
        <is>
          <t>00</t>
        </is>
      </c>
      <c r="C29" s="6" t="inlineStr">
        <is>
          <t>Success</t>
        </is>
      </c>
      <c r="D29" s="7" t="n">
        <v>45941.08960648148</v>
      </c>
      <c r="E29" s="6" t="inlineStr">
        <is>
          <t>N</t>
        </is>
      </c>
    </row>
    <row r="30">
      <c r="A30" s="6" t="inlineStr">
        <is>
          <t>REQ-00029</t>
        </is>
      </c>
      <c r="B30" s="6" t="inlineStr">
        <is>
          <t>00</t>
        </is>
      </c>
      <c r="C30" s="6" t="inlineStr">
        <is>
          <t>Success</t>
        </is>
      </c>
      <c r="D30" s="7" t="n">
        <v>45937.14865740741</v>
      </c>
      <c r="E30" s="6" t="inlineStr">
        <is>
          <t>N</t>
        </is>
      </c>
    </row>
    <row r="31">
      <c r="A31" s="6" t="inlineStr">
        <is>
          <t>REQ-00030</t>
        </is>
      </c>
      <c r="B31" s="6" t="inlineStr">
        <is>
          <t>00</t>
        </is>
      </c>
      <c r="C31" s="6" t="inlineStr">
        <is>
          <t>Success</t>
        </is>
      </c>
      <c r="D31" s="7" t="n">
        <v>45935.00628472222</v>
      </c>
      <c r="E31" s="6" t="inlineStr">
        <is>
          <t>N</t>
        </is>
      </c>
    </row>
  </sheetData>
  <autoFilter ref="A1:E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8" customWidth="1" min="3" max="3"/>
    <col width="9" customWidth="1" min="4" max="4"/>
    <col width="28" customWidth="1" min="5" max="5"/>
    <col width="13" customWidth="1" min="6" max="6"/>
    <col width="21" customWidth="1" min="7" max="7"/>
    <col width="21" customWidth="1" min="8" max="8"/>
    <col width="13" customWidth="1" min="9" max="9"/>
    <col width="20" customWidth="1" min="10" max="10"/>
    <col width="19" customWidth="1" min="11" max="11"/>
    <col width="27" customWidth="1" min="12" max="12"/>
  </cols>
  <sheetData>
    <row r="1" ht="22" customHeight="1">
      <c r="A1" s="4" t="inlineStr">
        <is>
          <t>case_id</t>
        </is>
      </c>
      <c r="B1" s="4" t="inlineStr">
        <is>
          <t>acknowledgement_no</t>
        </is>
      </c>
      <c r="C1" s="4" t="inlineStr">
        <is>
          <t>job_id</t>
        </is>
      </c>
      <c r="D1" s="4" t="inlineStr">
        <is>
          <t>step_no</t>
        </is>
      </c>
      <c r="E1" s="4" t="inlineStr">
        <is>
          <t>step_name</t>
        </is>
      </c>
      <c r="F1" s="4" t="inlineStr">
        <is>
          <t>actor</t>
        </is>
      </c>
      <c r="G1" s="4" t="inlineStr">
        <is>
          <t>start_time</t>
        </is>
      </c>
      <c r="H1" s="4" t="inlineStr">
        <is>
          <t>end_time</t>
        </is>
      </c>
      <c r="I1" s="4" t="inlineStr">
        <is>
          <t>step_status</t>
        </is>
      </c>
      <c r="J1" s="4" t="inlineStr">
        <is>
          <t>sla_target_minutes</t>
        </is>
      </c>
      <c r="K1" s="5" t="inlineStr">
        <is>
          <t>actual_minutes</t>
        </is>
      </c>
      <c r="L1" s="5" t="inlineStr">
        <is>
          <t>sla_breached</t>
        </is>
      </c>
    </row>
    <row r="2">
      <c r="A2" s="6" t="inlineStr">
        <is>
          <t>I4C-CASE-2025-0001</t>
        </is>
      </c>
      <c r="B2" s="6" t="inlineStr">
        <is>
          <t>31608230000001</t>
        </is>
      </c>
      <c r="C2" s="6" t="inlineStr">
        <is>
          <t>a809e351-37a8-4017-9977-dc4d0e60ec7b</t>
        </is>
      </c>
      <c r="D2" s="6" t="n">
        <v>1</v>
      </c>
      <c r="E2" s="6" t="inlineStr">
        <is>
          <t>I4C_PUSH_RECEIVED</t>
        </is>
      </c>
      <c r="F2" s="6" t="inlineStr">
        <is>
          <t>I4C</t>
        </is>
      </c>
      <c r="G2" s="7" t="n">
        <v>45944.26736111111</v>
      </c>
      <c r="H2" s="7" t="n">
        <v>45944.26736111111</v>
      </c>
      <c r="I2" s="6" t="inlineStr">
        <is>
          <t>COMPLETED</t>
        </is>
      </c>
      <c r="J2" s="6" t="n">
        <v>1</v>
      </c>
      <c r="K2" s="11">
        <f>(H2-G2)*1440</f>
        <v/>
      </c>
      <c r="L2" s="10">
        <f>IF(K2&gt;J2,"YES","NO")</f>
        <v/>
      </c>
    </row>
    <row r="3">
      <c r="A3" s="6" t="inlineStr">
        <is>
          <t>I4C-CASE-2025-0001</t>
        </is>
      </c>
      <c r="B3" s="6" t="inlineStr">
        <is>
          <t>31608230000001</t>
        </is>
      </c>
      <c r="C3" s="6" t="inlineStr">
        <is>
          <t>a809e351-37a8-4017-9977-dc4d0e60ec7b</t>
        </is>
      </c>
      <c r="D3" s="6" t="n">
        <v>2</v>
      </c>
      <c r="E3" s="6" t="inlineStr">
        <is>
          <t>BANK_ACK_SENT</t>
        </is>
      </c>
      <c r="F3" s="6" t="inlineStr">
        <is>
          <t>Bank-System</t>
        </is>
      </c>
      <c r="G3" s="7" t="n">
        <v>45944.26736111111</v>
      </c>
      <c r="H3" s="7" t="n">
        <v>45944.26741898148</v>
      </c>
      <c r="I3" s="6" t="inlineStr">
        <is>
          <t>COMPLETED</t>
        </is>
      </c>
      <c r="J3" s="6" t="n">
        <v>1</v>
      </c>
      <c r="K3" s="11">
        <f>(H3-G3)*1440</f>
        <v/>
      </c>
      <c r="L3" s="10">
        <f>IF(K3&gt;J3,"YES","NO")</f>
        <v/>
      </c>
    </row>
    <row r="4">
      <c r="A4" s="6" t="inlineStr">
        <is>
          <t>I4C-CASE-2025-0001</t>
        </is>
      </c>
      <c r="B4" s="6" t="inlineStr">
        <is>
          <t>31608230000001</t>
        </is>
      </c>
      <c r="C4" s="6" t="inlineStr">
        <is>
          <t>a809e351-37a8-4017-9977-dc4d0e60ec7b</t>
        </is>
      </c>
      <c r="D4" s="6" t="n">
        <v>3</v>
      </c>
      <c r="E4" s="6" t="inlineStr">
        <is>
          <t>ENRICHMENT_ROUTING</t>
        </is>
      </c>
      <c r="F4" s="6" t="inlineStr">
        <is>
          <t>Bank-System</t>
        </is>
      </c>
      <c r="G4" s="7" t="n">
        <v>45944.26741898148</v>
      </c>
      <c r="H4" s="7" t="n">
        <v>45944.27083333334</v>
      </c>
      <c r="I4" s="6" t="inlineStr">
        <is>
          <t>COMPLETED</t>
        </is>
      </c>
      <c r="J4" s="6" t="n">
        <v>15</v>
      </c>
      <c r="K4" s="11">
        <f>(H4-G4)*1440</f>
        <v/>
      </c>
      <c r="L4" s="10">
        <f>IF(K4&gt;J4,"YES","NO")</f>
        <v/>
      </c>
    </row>
    <row r="5">
      <c r="A5" s="6" t="inlineStr">
        <is>
          <t>I4C-CASE-2025-0001</t>
        </is>
      </c>
      <c r="B5" s="6" t="inlineStr">
        <is>
          <t>31608230000001</t>
        </is>
      </c>
      <c r="C5" s="6" t="inlineStr">
        <is>
          <t>a809e351-37a8-4017-9977-dc4d0e60ec7b</t>
        </is>
      </c>
      <c r="D5" s="6" t="n">
        <v>4</v>
      </c>
      <c r="E5" s="6" t="inlineStr">
        <is>
          <t>HOLD_ACTION_ATTEMPTED</t>
        </is>
      </c>
      <c r="F5" s="6" t="inlineStr">
        <is>
          <t>Bank-Ops</t>
        </is>
      </c>
      <c r="G5" s="7" t="n">
        <v>45944.27083333334</v>
      </c>
      <c r="H5" s="7" t="n">
        <v>45944.275</v>
      </c>
      <c r="I5" s="6" t="inlineStr">
        <is>
          <t>COMPLETED</t>
        </is>
      </c>
      <c r="J5" s="6" t="n">
        <v>30</v>
      </c>
      <c r="K5" s="11">
        <f>(H5-G5)*1440</f>
        <v/>
      </c>
      <c r="L5" s="10">
        <f>IF(K5&gt;J5,"YES","NO")</f>
        <v/>
      </c>
    </row>
    <row r="6">
      <c r="A6" s="6" t="inlineStr">
        <is>
          <t>I4C-CASE-2025-0001</t>
        </is>
      </c>
      <c r="B6" s="6" t="inlineStr">
        <is>
          <t>31608230000001</t>
        </is>
      </c>
      <c r="C6" s="6" t="inlineStr">
        <is>
          <t>a809e351-37a8-4017-9977-dc4d0e60ec7b</t>
        </is>
      </c>
      <c r="D6" s="6" t="n">
        <v>5</v>
      </c>
      <c r="E6" s="6" t="inlineStr">
        <is>
          <t>STATUS_UPDATE_SENT</t>
        </is>
      </c>
      <c r="F6" s="6" t="inlineStr">
        <is>
          <t>Bank-System</t>
        </is>
      </c>
      <c r="G6" s="7" t="n">
        <v>45944.275</v>
      </c>
      <c r="H6" s="7" t="n">
        <v>45944.27916666667</v>
      </c>
      <c r="I6" s="6" t="inlineStr">
        <is>
          <t>COMPLETED</t>
        </is>
      </c>
      <c r="J6" s="6" t="n">
        <v>60</v>
      </c>
      <c r="K6" s="11">
        <f>(H6-G6)*1440</f>
        <v/>
      </c>
      <c r="L6" s="10">
        <f>IF(K6&gt;J6,"YES","NO")</f>
        <v/>
      </c>
    </row>
    <row r="7">
      <c r="A7" s="6" t="inlineStr">
        <is>
          <t>I4C-CASE-2025-0001</t>
        </is>
      </c>
      <c r="B7" s="6" t="inlineStr">
        <is>
          <t>31608230000001</t>
        </is>
      </c>
      <c r="C7" s="6" t="inlineStr">
        <is>
          <t>a809e351-37a8-4017-9977-dc4d0e60ec7b</t>
        </is>
      </c>
      <c r="D7" s="6" t="n">
        <v>6</v>
      </c>
      <c r="E7" s="6" t="inlineStr">
        <is>
          <t>I4C_STATUS_UPDATE_RESPONSE</t>
        </is>
      </c>
      <c r="F7" s="6" t="inlineStr">
        <is>
          <t>I4C</t>
        </is>
      </c>
      <c r="G7" s="7" t="n">
        <v>45944.27916666667</v>
      </c>
      <c r="H7" s="7" t="n">
        <v>45944.27920138889</v>
      </c>
      <c r="I7" s="6" t="inlineStr">
        <is>
          <t>COMPLETED</t>
        </is>
      </c>
      <c r="J7" s="6" t="n">
        <v>10</v>
      </c>
      <c r="K7" s="11">
        <f>(H7-G7)*1440</f>
        <v/>
      </c>
      <c r="L7" s="10">
        <f>IF(K7&gt;J7,"YES","NO")</f>
        <v/>
      </c>
    </row>
    <row r="8">
      <c r="A8" s="6" t="inlineStr">
        <is>
          <t>I4C-CASE-2025-0002</t>
        </is>
      </c>
      <c r="B8" s="6" t="inlineStr">
        <is>
          <t>31608230000002</t>
        </is>
      </c>
      <c r="C8" s="6" t="inlineStr">
        <is>
          <t>dc8ac3a9-c97b-4688-a12b-989696a01ca5</t>
        </is>
      </c>
      <c r="D8" s="6" t="n">
        <v>1</v>
      </c>
      <c r="E8" s="6" t="inlineStr">
        <is>
          <t>I4C_PUSH_RECEIVED</t>
        </is>
      </c>
      <c r="F8" s="6" t="inlineStr">
        <is>
          <t>I4C</t>
        </is>
      </c>
      <c r="G8" s="7" t="n">
        <v>45950.07291666666</v>
      </c>
      <c r="H8" s="7" t="n">
        <v>45950.07291666666</v>
      </c>
      <c r="I8" s="6" t="inlineStr">
        <is>
          <t>COMPLETED</t>
        </is>
      </c>
      <c r="J8" s="6" t="n">
        <v>1</v>
      </c>
      <c r="K8" s="11">
        <f>(H8-G8)*1440</f>
        <v/>
      </c>
      <c r="L8" s="10">
        <f>IF(K8&gt;J8,"YES","NO")</f>
        <v/>
      </c>
    </row>
    <row r="9">
      <c r="A9" s="6" t="inlineStr">
        <is>
          <t>I4C-CASE-2025-0002</t>
        </is>
      </c>
      <c r="B9" s="6" t="inlineStr">
        <is>
          <t>31608230000002</t>
        </is>
      </c>
      <c r="C9" s="6" t="inlineStr">
        <is>
          <t>dc8ac3a9-c97b-4688-a12b-989696a01ca5</t>
        </is>
      </c>
      <c r="D9" s="6" t="n">
        <v>2</v>
      </c>
      <c r="E9" s="6" t="inlineStr">
        <is>
          <t>BANK_ACK_SENT</t>
        </is>
      </c>
      <c r="F9" s="6" t="inlineStr">
        <is>
          <t>Bank-System</t>
        </is>
      </c>
      <c r="G9" s="7" t="n">
        <v>45950.07291666666</v>
      </c>
      <c r="H9" s="7" t="n">
        <v>45950.07297453703</v>
      </c>
      <c r="I9" s="6" t="inlineStr">
        <is>
          <t>COMPLETED</t>
        </is>
      </c>
      <c r="J9" s="6" t="n">
        <v>1</v>
      </c>
      <c r="K9" s="11">
        <f>(H9-G9)*1440</f>
        <v/>
      </c>
      <c r="L9" s="10">
        <f>IF(K9&gt;J9,"YES","NO")</f>
        <v/>
      </c>
    </row>
    <row r="10">
      <c r="A10" s="6" t="inlineStr">
        <is>
          <t>I4C-CASE-2025-0002</t>
        </is>
      </c>
      <c r="B10" s="6" t="inlineStr">
        <is>
          <t>31608230000002</t>
        </is>
      </c>
      <c r="C10" s="6" t="inlineStr">
        <is>
          <t>dc8ac3a9-c97b-4688-a12b-989696a01ca5</t>
        </is>
      </c>
      <c r="D10" s="6" t="n">
        <v>3</v>
      </c>
      <c r="E10" s="6" t="inlineStr">
        <is>
          <t>ENRICHMENT_ROUTING</t>
        </is>
      </c>
      <c r="F10" s="6" t="inlineStr">
        <is>
          <t>Bank-System</t>
        </is>
      </c>
      <c r="G10" s="7" t="n">
        <v>45950.07297453703</v>
      </c>
      <c r="H10" s="7" t="n">
        <v>45950.075</v>
      </c>
      <c r="I10" s="6" t="inlineStr">
        <is>
          <t>COMPLETED</t>
        </is>
      </c>
      <c r="J10" s="6" t="n">
        <v>15</v>
      </c>
      <c r="K10" s="11">
        <f>(H10-G10)*1440</f>
        <v/>
      </c>
      <c r="L10" s="10">
        <f>IF(K10&gt;J10,"YES","NO")</f>
        <v/>
      </c>
    </row>
    <row r="11">
      <c r="A11" s="6" t="inlineStr">
        <is>
          <t>I4C-CASE-2025-0002</t>
        </is>
      </c>
      <c r="B11" s="6" t="inlineStr">
        <is>
          <t>31608230000002</t>
        </is>
      </c>
      <c r="C11" s="6" t="inlineStr">
        <is>
          <t>dc8ac3a9-c97b-4688-a12b-989696a01ca5</t>
        </is>
      </c>
      <c r="D11" s="6" t="n">
        <v>4</v>
      </c>
      <c r="E11" s="6" t="inlineStr">
        <is>
          <t>HOLD_ACTION_ATTEMPTED</t>
        </is>
      </c>
      <c r="F11" s="6" t="inlineStr">
        <is>
          <t>Bank-Ops</t>
        </is>
      </c>
      <c r="G11" s="7" t="n">
        <v>45950.075</v>
      </c>
      <c r="H11" s="7" t="n">
        <v>45950.07986111111</v>
      </c>
      <c r="I11" s="6" t="inlineStr">
        <is>
          <t>COMPLETED</t>
        </is>
      </c>
      <c r="J11" s="6" t="n">
        <v>30</v>
      </c>
      <c r="K11" s="11">
        <f>(H11-G11)*1440</f>
        <v/>
      </c>
      <c r="L11" s="10">
        <f>IF(K11&gt;J11,"YES","NO")</f>
        <v/>
      </c>
    </row>
    <row r="12">
      <c r="A12" s="6" t="inlineStr">
        <is>
          <t>I4C-CASE-2025-0002</t>
        </is>
      </c>
      <c r="B12" s="6" t="inlineStr">
        <is>
          <t>31608230000002</t>
        </is>
      </c>
      <c r="C12" s="6" t="inlineStr">
        <is>
          <t>dc8ac3a9-c97b-4688-a12b-989696a01ca5</t>
        </is>
      </c>
      <c r="D12" s="6" t="n">
        <v>5</v>
      </c>
      <c r="E12" s="6" t="inlineStr">
        <is>
          <t>STATUS_UPDATE_SENT</t>
        </is>
      </c>
      <c r="F12" s="6" t="inlineStr">
        <is>
          <t>Bank-System</t>
        </is>
      </c>
      <c r="G12" s="7" t="n">
        <v>45950.07986111111</v>
      </c>
      <c r="H12" s="7" t="n">
        <v>45950.08055555556</v>
      </c>
      <c r="I12" s="6" t="inlineStr">
        <is>
          <t>COMPLETED</t>
        </is>
      </c>
      <c r="J12" s="6" t="n">
        <v>60</v>
      </c>
      <c r="K12" s="11">
        <f>(H12-G12)*1440</f>
        <v/>
      </c>
      <c r="L12" s="10">
        <f>IF(K12&gt;J12,"YES","NO")</f>
        <v/>
      </c>
    </row>
    <row r="13">
      <c r="A13" s="6" t="inlineStr">
        <is>
          <t>I4C-CASE-2025-0002</t>
        </is>
      </c>
      <c r="B13" s="6" t="inlineStr">
        <is>
          <t>31608230000002</t>
        </is>
      </c>
      <c r="C13" s="6" t="inlineStr">
        <is>
          <t>dc8ac3a9-c97b-4688-a12b-989696a01ca5</t>
        </is>
      </c>
      <c r="D13" s="6" t="n">
        <v>6</v>
      </c>
      <c r="E13" s="6" t="inlineStr">
        <is>
          <t>I4C_STATUS_UPDATE_RESPONSE</t>
        </is>
      </c>
      <c r="F13" s="6" t="inlineStr">
        <is>
          <t>I4C</t>
        </is>
      </c>
      <c r="G13" s="7" t="n">
        <v>45950.08055555556</v>
      </c>
      <c r="H13" s="7" t="n">
        <v>45950.08059027778</v>
      </c>
      <c r="I13" s="6" t="inlineStr">
        <is>
          <t>COMPLETED</t>
        </is>
      </c>
      <c r="J13" s="6" t="n">
        <v>10</v>
      </c>
      <c r="K13" s="11">
        <f>(H13-G13)*1440</f>
        <v/>
      </c>
      <c r="L13" s="10">
        <f>IF(K13&gt;J13,"YES","NO")</f>
        <v/>
      </c>
    </row>
    <row r="14">
      <c r="A14" s="6" t="inlineStr">
        <is>
          <t>I4C-CASE-2025-0003</t>
        </is>
      </c>
      <c r="B14" s="6" t="inlineStr">
        <is>
          <t>31608230000003</t>
        </is>
      </c>
      <c r="C14" s="6" t="inlineStr">
        <is>
          <t>a7cd9031-8026-4865-a5bf-503cb85d456b</t>
        </is>
      </c>
      <c r="D14" s="6" t="n">
        <v>1</v>
      </c>
      <c r="E14" s="6" t="inlineStr">
        <is>
          <t>I4C_PUSH_RECEIVED</t>
        </is>
      </c>
      <c r="F14" s="6" t="inlineStr">
        <is>
          <t>I4C</t>
        </is>
      </c>
      <c r="G14" s="7" t="n">
        <v>45955.93402777778</v>
      </c>
      <c r="H14" s="7" t="n">
        <v>45955.93402777778</v>
      </c>
      <c r="I14" s="6" t="inlineStr">
        <is>
          <t>COMPLETED</t>
        </is>
      </c>
      <c r="J14" s="6" t="n">
        <v>1</v>
      </c>
      <c r="K14" s="11">
        <f>(H14-G14)*1440</f>
        <v/>
      </c>
      <c r="L14" s="10">
        <f>IF(K14&gt;J14,"YES","NO")</f>
        <v/>
      </c>
    </row>
    <row r="15">
      <c r="A15" s="6" t="inlineStr">
        <is>
          <t>I4C-CASE-2025-0003</t>
        </is>
      </c>
      <c r="B15" s="6" t="inlineStr">
        <is>
          <t>31608230000003</t>
        </is>
      </c>
      <c r="C15" s="6" t="inlineStr">
        <is>
          <t>a7cd9031-8026-4865-a5bf-503cb85d456b</t>
        </is>
      </c>
      <c r="D15" s="6" t="n">
        <v>2</v>
      </c>
      <c r="E15" s="6" t="inlineStr">
        <is>
          <t>BANK_ACK_SENT</t>
        </is>
      </c>
      <c r="F15" s="6" t="inlineStr">
        <is>
          <t>Bank-System</t>
        </is>
      </c>
      <c r="G15" s="7" t="n">
        <v>45955.93402777778</v>
      </c>
      <c r="H15" s="7" t="n">
        <v>45955.93408564815</v>
      </c>
      <c r="I15" s="6" t="inlineStr">
        <is>
          <t>COMPLETED</t>
        </is>
      </c>
      <c r="J15" s="6" t="n">
        <v>1</v>
      </c>
      <c r="K15" s="11">
        <f>(H15-G15)*1440</f>
        <v/>
      </c>
      <c r="L15" s="10">
        <f>IF(K15&gt;J15,"YES","NO")</f>
        <v/>
      </c>
    </row>
    <row r="16">
      <c r="A16" s="6" t="inlineStr">
        <is>
          <t>I4C-CASE-2025-0003</t>
        </is>
      </c>
      <c r="B16" s="6" t="inlineStr">
        <is>
          <t>31608230000003</t>
        </is>
      </c>
      <c r="C16" s="6" t="inlineStr">
        <is>
          <t>a7cd9031-8026-4865-a5bf-503cb85d456b</t>
        </is>
      </c>
      <c r="D16" s="6" t="n">
        <v>3</v>
      </c>
      <c r="E16" s="6" t="inlineStr">
        <is>
          <t>ENRICHMENT_ROUTING</t>
        </is>
      </c>
      <c r="F16" s="6" t="inlineStr">
        <is>
          <t>Bank-System</t>
        </is>
      </c>
      <c r="G16" s="7" t="n">
        <v>45955.93408564815</v>
      </c>
      <c r="H16" s="7" t="n">
        <v>45955.9375</v>
      </c>
      <c r="I16" s="6" t="inlineStr">
        <is>
          <t>COMPLETED</t>
        </is>
      </c>
      <c r="J16" s="6" t="n">
        <v>15</v>
      </c>
      <c r="K16" s="11">
        <f>(H16-G16)*1440</f>
        <v/>
      </c>
      <c r="L16" s="10">
        <f>IF(K16&gt;J16,"YES","NO")</f>
        <v/>
      </c>
    </row>
    <row r="17">
      <c r="A17" s="6" t="inlineStr">
        <is>
          <t>I4C-CASE-2025-0003</t>
        </is>
      </c>
      <c r="B17" s="6" t="inlineStr">
        <is>
          <t>31608230000003</t>
        </is>
      </c>
      <c r="C17" s="6" t="inlineStr">
        <is>
          <t>a7cd9031-8026-4865-a5bf-503cb85d456b</t>
        </is>
      </c>
      <c r="D17" s="6" t="n">
        <v>4</v>
      </c>
      <c r="E17" s="6" t="inlineStr">
        <is>
          <t>HOLD_ACTION_ATTEMPTED</t>
        </is>
      </c>
      <c r="F17" s="6" t="inlineStr">
        <is>
          <t>Bank-Ops</t>
        </is>
      </c>
      <c r="G17" s="7" t="n">
        <v>45955.9375</v>
      </c>
      <c r="H17" s="7" t="n">
        <v>45955.94652777778</v>
      </c>
      <c r="I17" s="6" t="inlineStr">
        <is>
          <t>COMPLETED</t>
        </is>
      </c>
      <c r="J17" s="6" t="n">
        <v>30</v>
      </c>
      <c r="K17" s="11">
        <f>(H17-G17)*1440</f>
        <v/>
      </c>
      <c r="L17" s="10">
        <f>IF(K17&gt;J17,"YES","NO")</f>
        <v/>
      </c>
    </row>
    <row r="18">
      <c r="A18" s="6" t="inlineStr">
        <is>
          <t>I4C-CASE-2025-0003</t>
        </is>
      </c>
      <c r="B18" s="6" t="inlineStr">
        <is>
          <t>31608230000003</t>
        </is>
      </c>
      <c r="C18" s="6" t="inlineStr">
        <is>
          <t>a7cd9031-8026-4865-a5bf-503cb85d456b</t>
        </is>
      </c>
      <c r="D18" s="6" t="n">
        <v>5</v>
      </c>
      <c r="E18" s="6" t="inlineStr">
        <is>
          <t>STATUS_UPDATE_SENT</t>
        </is>
      </c>
      <c r="F18" s="6" t="inlineStr">
        <is>
          <t>Bank-System</t>
        </is>
      </c>
      <c r="G18" s="7" t="n">
        <v>45955.94652777778</v>
      </c>
      <c r="H18" s="7" t="n">
        <v>45955.94722222222</v>
      </c>
      <c r="I18" s="6" t="inlineStr">
        <is>
          <t>COMPLETED</t>
        </is>
      </c>
      <c r="J18" s="6" t="n">
        <v>60</v>
      </c>
      <c r="K18" s="11">
        <f>(H18-G18)*1440</f>
        <v/>
      </c>
      <c r="L18" s="10">
        <f>IF(K18&gt;J18,"YES","NO")</f>
        <v/>
      </c>
    </row>
    <row r="19">
      <c r="A19" s="6" t="inlineStr">
        <is>
          <t>I4C-CASE-2025-0003</t>
        </is>
      </c>
      <c r="B19" s="6" t="inlineStr">
        <is>
          <t>31608230000003</t>
        </is>
      </c>
      <c r="C19" s="6" t="inlineStr">
        <is>
          <t>a7cd9031-8026-4865-a5bf-503cb85d456b</t>
        </is>
      </c>
      <c r="D19" s="6" t="n">
        <v>6</v>
      </c>
      <c r="E19" s="6" t="inlineStr">
        <is>
          <t>I4C_STATUS_UPDATE_RESPONSE</t>
        </is>
      </c>
      <c r="F19" s="6" t="inlineStr">
        <is>
          <t>I4C</t>
        </is>
      </c>
      <c r="G19" s="7" t="n">
        <v>45955.94722222222</v>
      </c>
      <c r="H19" s="7" t="n">
        <v>45955.94725694445</v>
      </c>
      <c r="I19" s="6" t="inlineStr">
        <is>
          <t>COMPLETED</t>
        </is>
      </c>
      <c r="J19" s="6" t="n">
        <v>10</v>
      </c>
      <c r="K19" s="11">
        <f>(H19-G19)*1440</f>
        <v/>
      </c>
      <c r="L19" s="10">
        <f>IF(K19&gt;J19,"YES","NO")</f>
        <v/>
      </c>
    </row>
    <row r="20">
      <c r="A20" s="6" t="inlineStr">
        <is>
          <t>I4C-CASE-2025-0004</t>
        </is>
      </c>
      <c r="B20" s="6" t="inlineStr">
        <is>
          <t>31608230000004</t>
        </is>
      </c>
      <c r="C20" s="6" t="inlineStr">
        <is>
          <t>260f5953-5ef8-4b0a-9ad0-aa82d14417c5</t>
        </is>
      </c>
      <c r="D20" s="6" t="n">
        <v>1</v>
      </c>
      <c r="E20" s="6" t="inlineStr">
        <is>
          <t>I4C_PUSH_RECEIVED</t>
        </is>
      </c>
      <c r="F20" s="6" t="inlineStr">
        <is>
          <t>I4C</t>
        </is>
      </c>
      <c r="G20" s="7" t="n">
        <v>45936.94444444445</v>
      </c>
      <c r="H20" s="7" t="n">
        <v>45936.94444444445</v>
      </c>
      <c r="I20" s="6" t="inlineStr">
        <is>
          <t>COMPLETED</t>
        </is>
      </c>
      <c r="J20" s="6" t="n">
        <v>1</v>
      </c>
      <c r="K20" s="11">
        <f>(H20-G20)*1440</f>
        <v/>
      </c>
      <c r="L20" s="10">
        <f>IF(K20&gt;J20,"YES","NO")</f>
        <v/>
      </c>
    </row>
    <row r="21">
      <c r="A21" s="6" t="inlineStr">
        <is>
          <t>I4C-CASE-2025-0004</t>
        </is>
      </c>
      <c r="B21" s="6" t="inlineStr">
        <is>
          <t>31608230000004</t>
        </is>
      </c>
      <c r="C21" s="6" t="inlineStr">
        <is>
          <t>260f5953-5ef8-4b0a-9ad0-aa82d14417c5</t>
        </is>
      </c>
      <c r="D21" s="6" t="n">
        <v>2</v>
      </c>
      <c r="E21" s="6" t="inlineStr">
        <is>
          <t>BANK_ACK_SENT</t>
        </is>
      </c>
      <c r="F21" s="6" t="inlineStr">
        <is>
          <t>Bank-System</t>
        </is>
      </c>
      <c r="G21" s="7" t="n">
        <v>45936.94444444445</v>
      </c>
      <c r="H21" s="7" t="n">
        <v>45936.94450231481</v>
      </c>
      <c r="I21" s="6" t="inlineStr">
        <is>
          <t>COMPLETED</t>
        </is>
      </c>
      <c r="J21" s="6" t="n">
        <v>1</v>
      </c>
      <c r="K21" s="11">
        <f>(H21-G21)*1440</f>
        <v/>
      </c>
      <c r="L21" s="10">
        <f>IF(K21&gt;J21,"YES","NO")</f>
        <v/>
      </c>
    </row>
    <row r="22">
      <c r="A22" s="6" t="inlineStr">
        <is>
          <t>I4C-CASE-2025-0004</t>
        </is>
      </c>
      <c r="B22" s="6" t="inlineStr">
        <is>
          <t>31608230000004</t>
        </is>
      </c>
      <c r="C22" s="6" t="inlineStr">
        <is>
          <t>260f5953-5ef8-4b0a-9ad0-aa82d14417c5</t>
        </is>
      </c>
      <c r="D22" s="6" t="n">
        <v>3</v>
      </c>
      <c r="E22" s="6" t="inlineStr">
        <is>
          <t>ENRICHMENT_ROUTING</t>
        </is>
      </c>
      <c r="F22" s="6" t="inlineStr">
        <is>
          <t>Bank-System</t>
        </is>
      </c>
      <c r="G22" s="7" t="n">
        <v>45936.94450231481</v>
      </c>
      <c r="H22" s="7" t="n">
        <v>45936.94791666666</v>
      </c>
      <c r="I22" s="6" t="inlineStr">
        <is>
          <t>COMPLETED</t>
        </is>
      </c>
      <c r="J22" s="6" t="n">
        <v>15</v>
      </c>
      <c r="K22" s="11">
        <f>(H22-G22)*1440</f>
        <v/>
      </c>
      <c r="L22" s="10">
        <f>IF(K22&gt;J22,"YES","NO")</f>
        <v/>
      </c>
    </row>
    <row r="23">
      <c r="A23" s="6" t="inlineStr">
        <is>
          <t>I4C-CASE-2025-0004</t>
        </is>
      </c>
      <c r="B23" s="6" t="inlineStr">
        <is>
          <t>31608230000004</t>
        </is>
      </c>
      <c r="C23" s="6" t="inlineStr">
        <is>
          <t>260f5953-5ef8-4b0a-9ad0-aa82d14417c5</t>
        </is>
      </c>
      <c r="D23" s="6" t="n">
        <v>4</v>
      </c>
      <c r="E23" s="6" t="inlineStr">
        <is>
          <t>HOLD_ACTION_ATTEMPTED</t>
        </is>
      </c>
      <c r="F23" s="6" t="inlineStr">
        <is>
          <t>Bank-Ops</t>
        </is>
      </c>
      <c r="G23" s="7" t="n">
        <v>45936.94791666666</v>
      </c>
      <c r="H23" s="7" t="n">
        <v>45936.96111111111</v>
      </c>
      <c r="I23" s="6" t="inlineStr">
        <is>
          <t>COMPLETED</t>
        </is>
      </c>
      <c r="J23" s="6" t="n">
        <v>30</v>
      </c>
      <c r="K23" s="11">
        <f>(H23-G23)*1440</f>
        <v/>
      </c>
      <c r="L23" s="10">
        <f>IF(K23&gt;J23,"YES","NO")</f>
        <v/>
      </c>
    </row>
    <row r="24">
      <c r="A24" s="6" t="inlineStr">
        <is>
          <t>I4C-CASE-2025-0004</t>
        </is>
      </c>
      <c r="B24" s="6" t="inlineStr">
        <is>
          <t>31608230000004</t>
        </is>
      </c>
      <c r="C24" s="6" t="inlineStr">
        <is>
          <t>260f5953-5ef8-4b0a-9ad0-aa82d14417c5</t>
        </is>
      </c>
      <c r="D24" s="6" t="n">
        <v>5</v>
      </c>
      <c r="E24" s="6" t="inlineStr">
        <is>
          <t>STATUS_UPDATE_SENT</t>
        </is>
      </c>
      <c r="F24" s="6" t="inlineStr">
        <is>
          <t>Bank-System</t>
        </is>
      </c>
      <c r="G24" s="7" t="n">
        <v>45936.96111111111</v>
      </c>
      <c r="H24" s="7" t="n">
        <v>45936.96597222222</v>
      </c>
      <c r="I24" s="6" t="inlineStr">
        <is>
          <t>COMPLETED</t>
        </is>
      </c>
      <c r="J24" s="6" t="n">
        <v>60</v>
      </c>
      <c r="K24" s="11">
        <f>(H24-G24)*1440</f>
        <v/>
      </c>
      <c r="L24" s="10">
        <f>IF(K24&gt;J24,"YES","NO")</f>
        <v/>
      </c>
    </row>
    <row r="25">
      <c r="A25" s="6" t="inlineStr">
        <is>
          <t>I4C-CASE-2025-0004</t>
        </is>
      </c>
      <c r="B25" s="6" t="inlineStr">
        <is>
          <t>31608230000004</t>
        </is>
      </c>
      <c r="C25" s="6" t="inlineStr">
        <is>
          <t>260f5953-5ef8-4b0a-9ad0-aa82d14417c5</t>
        </is>
      </c>
      <c r="D25" s="6" t="n">
        <v>6</v>
      </c>
      <c r="E25" s="6" t="inlineStr">
        <is>
          <t>I4C_STATUS_UPDATE_RESPONSE</t>
        </is>
      </c>
      <c r="F25" s="6" t="inlineStr">
        <is>
          <t>I4C</t>
        </is>
      </c>
      <c r="G25" s="7" t="n">
        <v>45936.96597222222</v>
      </c>
      <c r="H25" s="7" t="n">
        <v>45936.96600694444</v>
      </c>
      <c r="I25" s="6" t="inlineStr">
        <is>
          <t>COMPLETED</t>
        </is>
      </c>
      <c r="J25" s="6" t="n">
        <v>10</v>
      </c>
      <c r="K25" s="11">
        <f>(H25-G25)*1440</f>
        <v/>
      </c>
      <c r="L25" s="10">
        <f>IF(K25&gt;J25,"YES","NO")</f>
        <v/>
      </c>
    </row>
    <row r="26">
      <c r="A26" s="6" t="inlineStr">
        <is>
          <t>I4C-CASE-2025-0005</t>
        </is>
      </c>
      <c r="B26" s="6" t="inlineStr">
        <is>
          <t>31608230000005</t>
        </is>
      </c>
      <c r="C26" s="6" t="inlineStr">
        <is>
          <t>b84e9000-babf-4700-b34e-ccc2ca1554ce</t>
        </is>
      </c>
      <c r="D26" s="6" t="n">
        <v>1</v>
      </c>
      <c r="E26" s="6" t="inlineStr">
        <is>
          <t>I4C_PUSH_RECEIVED</t>
        </is>
      </c>
      <c r="F26" s="6" t="inlineStr">
        <is>
          <t>I4C</t>
        </is>
      </c>
      <c r="G26" s="7" t="n">
        <v>45957.15972222222</v>
      </c>
      <c r="H26" s="7" t="n">
        <v>45957.15972222222</v>
      </c>
      <c r="I26" s="6" t="inlineStr">
        <is>
          <t>COMPLETED</t>
        </is>
      </c>
      <c r="J26" s="6" t="n">
        <v>1</v>
      </c>
      <c r="K26" s="11">
        <f>(H26-G26)*1440</f>
        <v/>
      </c>
      <c r="L26" s="10">
        <f>IF(K26&gt;J26,"YES","NO")</f>
        <v/>
      </c>
    </row>
    <row r="27">
      <c r="A27" s="6" t="inlineStr">
        <is>
          <t>I4C-CASE-2025-0005</t>
        </is>
      </c>
      <c r="B27" s="6" t="inlineStr">
        <is>
          <t>31608230000005</t>
        </is>
      </c>
      <c r="C27" s="6" t="inlineStr">
        <is>
          <t>b84e9000-babf-4700-b34e-ccc2ca1554ce</t>
        </is>
      </c>
      <c r="D27" s="6" t="n">
        <v>2</v>
      </c>
      <c r="E27" s="6" t="inlineStr">
        <is>
          <t>BANK_ACK_SENT</t>
        </is>
      </c>
      <c r="F27" s="6" t="inlineStr">
        <is>
          <t>Bank-System</t>
        </is>
      </c>
      <c r="G27" s="7" t="n">
        <v>45957.15972222222</v>
      </c>
      <c r="H27" s="7" t="n">
        <v>45957.1597800926</v>
      </c>
      <c r="I27" s="6" t="inlineStr">
        <is>
          <t>COMPLETED</t>
        </is>
      </c>
      <c r="J27" s="6" t="n">
        <v>1</v>
      </c>
      <c r="K27" s="11">
        <f>(H27-G27)*1440</f>
        <v/>
      </c>
      <c r="L27" s="10">
        <f>IF(K27&gt;J27,"YES","NO")</f>
        <v/>
      </c>
    </row>
    <row r="28">
      <c r="A28" s="6" t="inlineStr">
        <is>
          <t>I4C-CASE-2025-0005</t>
        </is>
      </c>
      <c r="B28" s="6" t="inlineStr">
        <is>
          <t>31608230000005</t>
        </is>
      </c>
      <c r="C28" s="6" t="inlineStr">
        <is>
          <t>b84e9000-babf-4700-b34e-ccc2ca1554ce</t>
        </is>
      </c>
      <c r="D28" s="6" t="n">
        <v>3</v>
      </c>
      <c r="E28" s="6" t="inlineStr">
        <is>
          <t>ENRICHMENT_ROUTING</t>
        </is>
      </c>
      <c r="F28" s="6" t="inlineStr">
        <is>
          <t>Bank-System</t>
        </is>
      </c>
      <c r="G28" s="7" t="n">
        <v>45957.1597800926</v>
      </c>
      <c r="H28" s="7" t="n">
        <v>45957.16388888889</v>
      </c>
      <c r="I28" s="6" t="inlineStr">
        <is>
          <t>COMPLETED</t>
        </is>
      </c>
      <c r="J28" s="6" t="n">
        <v>15</v>
      </c>
      <c r="K28" s="11">
        <f>(H28-G28)*1440</f>
        <v/>
      </c>
      <c r="L28" s="10">
        <f>IF(K28&gt;J28,"YES","NO")</f>
        <v/>
      </c>
    </row>
    <row r="29">
      <c r="A29" s="6" t="inlineStr">
        <is>
          <t>I4C-CASE-2025-0005</t>
        </is>
      </c>
      <c r="B29" s="6" t="inlineStr">
        <is>
          <t>31608230000005</t>
        </is>
      </c>
      <c r="C29" s="6" t="inlineStr">
        <is>
          <t>b84e9000-babf-4700-b34e-ccc2ca1554ce</t>
        </is>
      </c>
      <c r="D29" s="6" t="n">
        <v>4</v>
      </c>
      <c r="E29" s="6" t="inlineStr">
        <is>
          <t>HOLD_ACTION_ATTEMPTED</t>
        </is>
      </c>
      <c r="F29" s="6" t="inlineStr">
        <is>
          <t>Bank-Ops</t>
        </is>
      </c>
      <c r="G29" s="7" t="n">
        <v>45957.16388888889</v>
      </c>
      <c r="H29" s="7" t="n">
        <v>45957.17291666667</v>
      </c>
      <c r="I29" s="6" t="inlineStr">
        <is>
          <t>COMPLETED</t>
        </is>
      </c>
      <c r="J29" s="6" t="n">
        <v>30</v>
      </c>
      <c r="K29" s="11">
        <f>(H29-G29)*1440</f>
        <v/>
      </c>
      <c r="L29" s="10">
        <f>IF(K29&gt;J29,"YES","NO")</f>
        <v/>
      </c>
    </row>
    <row r="30">
      <c r="A30" s="6" t="inlineStr">
        <is>
          <t>I4C-CASE-2025-0005</t>
        </is>
      </c>
      <c r="B30" s="6" t="inlineStr">
        <is>
          <t>31608230000005</t>
        </is>
      </c>
      <c r="C30" s="6" t="inlineStr">
        <is>
          <t>b84e9000-babf-4700-b34e-ccc2ca1554ce</t>
        </is>
      </c>
      <c r="D30" s="6" t="n">
        <v>5</v>
      </c>
      <c r="E30" s="6" t="inlineStr">
        <is>
          <t>STATUS_UPDATE_SENT</t>
        </is>
      </c>
      <c r="F30" s="6" t="inlineStr">
        <is>
          <t>Bank-System</t>
        </is>
      </c>
      <c r="G30" s="7" t="n">
        <v>45957.17291666667</v>
      </c>
      <c r="H30" s="7" t="n">
        <v>45957.17430555556</v>
      </c>
      <c r="I30" s="6" t="inlineStr">
        <is>
          <t>COMPLETED</t>
        </is>
      </c>
      <c r="J30" s="6" t="n">
        <v>60</v>
      </c>
      <c r="K30" s="11">
        <f>(H30-G30)*1440</f>
        <v/>
      </c>
      <c r="L30" s="10">
        <f>IF(K30&gt;J30,"YES","NO")</f>
        <v/>
      </c>
    </row>
    <row r="31">
      <c r="A31" s="6" t="inlineStr">
        <is>
          <t>I4C-CASE-2025-0005</t>
        </is>
      </c>
      <c r="B31" s="6" t="inlineStr">
        <is>
          <t>31608230000005</t>
        </is>
      </c>
      <c r="C31" s="6" t="inlineStr">
        <is>
          <t>b84e9000-babf-4700-b34e-ccc2ca1554ce</t>
        </is>
      </c>
      <c r="D31" s="6" t="n">
        <v>6</v>
      </c>
      <c r="E31" s="6" t="inlineStr">
        <is>
          <t>I4C_STATUS_UPDATE_RESPONSE</t>
        </is>
      </c>
      <c r="F31" s="6" t="inlineStr">
        <is>
          <t>I4C</t>
        </is>
      </c>
      <c r="G31" s="7" t="n">
        <v>45957.17430555556</v>
      </c>
      <c r="H31" s="7" t="n">
        <v>45957.17434027778</v>
      </c>
      <c r="I31" s="6" t="inlineStr">
        <is>
          <t>COMPLETED</t>
        </is>
      </c>
      <c r="J31" s="6" t="n">
        <v>10</v>
      </c>
      <c r="K31" s="11">
        <f>(H31-G31)*1440</f>
        <v/>
      </c>
      <c r="L31" s="10">
        <f>IF(K31&gt;J31,"YES","NO")</f>
        <v/>
      </c>
    </row>
    <row r="32">
      <c r="A32" s="6" t="inlineStr">
        <is>
          <t>I4C-CASE-2025-0006</t>
        </is>
      </c>
      <c r="B32" s="6" t="inlineStr">
        <is>
          <t>31608230000006</t>
        </is>
      </c>
      <c r="C32" s="6" t="inlineStr">
        <is>
          <t>87ad8bc0-8306-4d41-95e4-f3591d26c43f</t>
        </is>
      </c>
      <c r="D32" s="6" t="n">
        <v>1</v>
      </c>
      <c r="E32" s="6" t="inlineStr">
        <is>
          <t>I4C_PUSH_RECEIVED</t>
        </is>
      </c>
      <c r="F32" s="6" t="inlineStr">
        <is>
          <t>I4C</t>
        </is>
      </c>
      <c r="G32" s="7" t="n">
        <v>45947.5625</v>
      </c>
      <c r="H32" s="7" t="n">
        <v>45947.5625</v>
      </c>
      <c r="I32" s="6" t="inlineStr">
        <is>
          <t>COMPLETED</t>
        </is>
      </c>
      <c r="J32" s="6" t="n">
        <v>1</v>
      </c>
      <c r="K32" s="11">
        <f>(H32-G32)*1440</f>
        <v/>
      </c>
      <c r="L32" s="10">
        <f>IF(K32&gt;J32,"YES","NO")</f>
        <v/>
      </c>
    </row>
    <row r="33">
      <c r="A33" s="6" t="inlineStr">
        <is>
          <t>I4C-CASE-2025-0006</t>
        </is>
      </c>
      <c r="B33" s="6" t="inlineStr">
        <is>
          <t>31608230000006</t>
        </is>
      </c>
      <c r="C33" s="6" t="inlineStr">
        <is>
          <t>87ad8bc0-8306-4d41-95e4-f3591d26c43f</t>
        </is>
      </c>
      <c r="D33" s="6" t="n">
        <v>2</v>
      </c>
      <c r="E33" s="6" t="inlineStr">
        <is>
          <t>BANK_ACK_SENT</t>
        </is>
      </c>
      <c r="F33" s="6" t="inlineStr">
        <is>
          <t>Bank-System</t>
        </is>
      </c>
      <c r="G33" s="7" t="n">
        <v>45947.5625</v>
      </c>
      <c r="H33" s="7" t="n">
        <v>45947.56255787037</v>
      </c>
      <c r="I33" s="6" t="inlineStr">
        <is>
          <t>COMPLETED</t>
        </is>
      </c>
      <c r="J33" s="6" t="n">
        <v>1</v>
      </c>
      <c r="K33" s="11">
        <f>(H33-G33)*1440</f>
        <v/>
      </c>
      <c r="L33" s="10">
        <f>IF(K33&gt;J33,"YES","NO")</f>
        <v/>
      </c>
    </row>
    <row r="34">
      <c r="A34" s="6" t="inlineStr">
        <is>
          <t>I4C-CASE-2025-0006</t>
        </is>
      </c>
      <c r="B34" s="6" t="inlineStr">
        <is>
          <t>31608230000006</t>
        </is>
      </c>
      <c r="C34" s="6" t="inlineStr">
        <is>
          <t>87ad8bc0-8306-4d41-95e4-f3591d26c43f</t>
        </is>
      </c>
      <c r="D34" s="6" t="n">
        <v>3</v>
      </c>
      <c r="E34" s="6" t="inlineStr">
        <is>
          <t>ENRICHMENT_ROUTING</t>
        </is>
      </c>
      <c r="F34" s="6" t="inlineStr">
        <is>
          <t>Bank-System</t>
        </is>
      </c>
      <c r="G34" s="7" t="n">
        <v>45947.56255787037</v>
      </c>
      <c r="H34" s="7" t="n">
        <v>45947.56944444445</v>
      </c>
      <c r="I34" s="6" t="inlineStr">
        <is>
          <t>COMPLETED</t>
        </is>
      </c>
      <c r="J34" s="6" t="n">
        <v>15</v>
      </c>
      <c r="K34" s="11">
        <f>(H34-G34)*1440</f>
        <v/>
      </c>
      <c r="L34" s="10">
        <f>IF(K34&gt;J34,"YES","NO")</f>
        <v/>
      </c>
    </row>
    <row r="35">
      <c r="A35" s="6" t="inlineStr">
        <is>
          <t>I4C-CASE-2025-0006</t>
        </is>
      </c>
      <c r="B35" s="6" t="inlineStr">
        <is>
          <t>31608230000006</t>
        </is>
      </c>
      <c r="C35" s="6" t="inlineStr">
        <is>
          <t>87ad8bc0-8306-4d41-95e4-f3591d26c43f</t>
        </is>
      </c>
      <c r="D35" s="6" t="n">
        <v>4</v>
      </c>
      <c r="E35" s="6" t="inlineStr">
        <is>
          <t>HOLD_ACTION_ATTEMPTED</t>
        </is>
      </c>
      <c r="F35" s="6" t="inlineStr">
        <is>
          <t>Bank-Ops</t>
        </is>
      </c>
      <c r="G35" s="7" t="n">
        <v>45947.56944444445</v>
      </c>
      <c r="H35" s="7" t="n">
        <v>45947.57638888889</v>
      </c>
      <c r="I35" s="6" t="inlineStr">
        <is>
          <t>COMPLETED</t>
        </is>
      </c>
      <c r="J35" s="6" t="n">
        <v>30</v>
      </c>
      <c r="K35" s="11">
        <f>(H35-G35)*1440</f>
        <v/>
      </c>
      <c r="L35" s="10">
        <f>IF(K35&gt;J35,"YES","NO")</f>
        <v/>
      </c>
    </row>
    <row r="36">
      <c r="A36" s="6" t="inlineStr">
        <is>
          <t>I4C-CASE-2025-0006</t>
        </is>
      </c>
      <c r="B36" s="6" t="inlineStr">
        <is>
          <t>31608230000006</t>
        </is>
      </c>
      <c r="C36" s="6" t="inlineStr">
        <is>
          <t>87ad8bc0-8306-4d41-95e4-f3591d26c43f</t>
        </is>
      </c>
      <c r="D36" s="6" t="n">
        <v>5</v>
      </c>
      <c r="E36" s="6" t="inlineStr">
        <is>
          <t>STATUS_UPDATE_SENT</t>
        </is>
      </c>
      <c r="F36" s="6" t="inlineStr">
        <is>
          <t>Bank-System</t>
        </is>
      </c>
      <c r="G36" s="7" t="n">
        <v>45947.57638888889</v>
      </c>
      <c r="H36" s="7" t="n">
        <v>45947.58194444444</v>
      </c>
      <c r="I36" s="6" t="inlineStr">
        <is>
          <t>COMPLETED</t>
        </is>
      </c>
      <c r="J36" s="6" t="n">
        <v>60</v>
      </c>
      <c r="K36" s="11">
        <f>(H36-G36)*1440</f>
        <v/>
      </c>
      <c r="L36" s="10">
        <f>IF(K36&gt;J36,"YES","NO")</f>
        <v/>
      </c>
    </row>
    <row r="37">
      <c r="A37" s="6" t="inlineStr">
        <is>
          <t>I4C-CASE-2025-0006</t>
        </is>
      </c>
      <c r="B37" s="6" t="inlineStr">
        <is>
          <t>31608230000006</t>
        </is>
      </c>
      <c r="C37" s="6" t="inlineStr">
        <is>
          <t>87ad8bc0-8306-4d41-95e4-f3591d26c43f</t>
        </is>
      </c>
      <c r="D37" s="6" t="n">
        <v>6</v>
      </c>
      <c r="E37" s="6" t="inlineStr">
        <is>
          <t>I4C_STATUS_UPDATE_RESPONSE</t>
        </is>
      </c>
      <c r="F37" s="6" t="inlineStr">
        <is>
          <t>I4C</t>
        </is>
      </c>
      <c r="G37" s="7" t="n">
        <v>45947.58194444444</v>
      </c>
      <c r="H37" s="7" t="n">
        <v>45947.58197916667</v>
      </c>
      <c r="I37" s="6" t="inlineStr">
        <is>
          <t>COMPLETED</t>
        </is>
      </c>
      <c r="J37" s="6" t="n">
        <v>10</v>
      </c>
      <c r="K37" s="11">
        <f>(H37-G37)*1440</f>
        <v/>
      </c>
      <c r="L37" s="10">
        <f>IF(K37&gt;J37,"YES","NO")</f>
        <v/>
      </c>
    </row>
    <row r="38">
      <c r="A38" s="6" t="inlineStr">
        <is>
          <t>I4C-CASE-2025-0007</t>
        </is>
      </c>
      <c r="B38" s="6" t="inlineStr">
        <is>
          <t>31608230000007</t>
        </is>
      </c>
      <c r="C38" s="6" t="inlineStr">
        <is>
          <t>0797d398-04e1-458f-a273-42c1b0a09584</t>
        </is>
      </c>
      <c r="D38" s="6" t="n">
        <v>1</v>
      </c>
      <c r="E38" s="6" t="inlineStr">
        <is>
          <t>I4C_PUSH_RECEIVED</t>
        </is>
      </c>
      <c r="F38" s="6" t="inlineStr">
        <is>
          <t>I4C</t>
        </is>
      </c>
      <c r="G38" s="7" t="n">
        <v>45951.56597222222</v>
      </c>
      <c r="H38" s="7" t="n">
        <v>45951.56597222222</v>
      </c>
      <c r="I38" s="6" t="inlineStr">
        <is>
          <t>COMPLETED</t>
        </is>
      </c>
      <c r="J38" s="6" t="n">
        <v>1</v>
      </c>
      <c r="K38" s="11">
        <f>(H38-G38)*1440</f>
        <v/>
      </c>
      <c r="L38" s="10">
        <f>IF(K38&gt;J38,"YES","NO")</f>
        <v/>
      </c>
    </row>
    <row r="39">
      <c r="A39" s="6" t="inlineStr">
        <is>
          <t>I4C-CASE-2025-0007</t>
        </is>
      </c>
      <c r="B39" s="6" t="inlineStr">
        <is>
          <t>31608230000007</t>
        </is>
      </c>
      <c r="C39" s="6" t="inlineStr">
        <is>
          <t>0797d398-04e1-458f-a273-42c1b0a09584</t>
        </is>
      </c>
      <c r="D39" s="6" t="n">
        <v>2</v>
      </c>
      <c r="E39" s="6" t="inlineStr">
        <is>
          <t>BANK_ACK_SENT</t>
        </is>
      </c>
      <c r="F39" s="6" t="inlineStr">
        <is>
          <t>Bank-System</t>
        </is>
      </c>
      <c r="G39" s="7" t="n">
        <v>45951.56597222222</v>
      </c>
      <c r="H39" s="7" t="n">
        <v>45951.5660300926</v>
      </c>
      <c r="I39" s="6" t="inlineStr">
        <is>
          <t>COMPLETED</t>
        </is>
      </c>
      <c r="J39" s="6" t="n">
        <v>1</v>
      </c>
      <c r="K39" s="11">
        <f>(H39-G39)*1440</f>
        <v/>
      </c>
      <c r="L39" s="10">
        <f>IF(K39&gt;J39,"YES","NO")</f>
        <v/>
      </c>
    </row>
    <row r="40">
      <c r="A40" s="6" t="inlineStr">
        <is>
          <t>I4C-CASE-2025-0007</t>
        </is>
      </c>
      <c r="B40" s="6" t="inlineStr">
        <is>
          <t>31608230000007</t>
        </is>
      </c>
      <c r="C40" s="6" t="inlineStr">
        <is>
          <t>0797d398-04e1-458f-a273-42c1b0a09584</t>
        </is>
      </c>
      <c r="D40" s="6" t="n">
        <v>3</v>
      </c>
      <c r="E40" s="6" t="inlineStr">
        <is>
          <t>ENRICHMENT_ROUTING</t>
        </is>
      </c>
      <c r="F40" s="6" t="inlineStr">
        <is>
          <t>Bank-System</t>
        </is>
      </c>
      <c r="G40" s="7" t="n">
        <v>45951.5660300926</v>
      </c>
      <c r="H40" s="7" t="n">
        <v>45951.57013888889</v>
      </c>
      <c r="I40" s="6" t="inlineStr">
        <is>
          <t>COMPLETED</t>
        </is>
      </c>
      <c r="J40" s="6" t="n">
        <v>15</v>
      </c>
      <c r="K40" s="11">
        <f>(H40-G40)*1440</f>
        <v/>
      </c>
      <c r="L40" s="10">
        <f>IF(K40&gt;J40,"YES","NO")</f>
        <v/>
      </c>
    </row>
    <row r="41">
      <c r="A41" s="6" t="inlineStr">
        <is>
          <t>I4C-CASE-2025-0007</t>
        </is>
      </c>
      <c r="B41" s="6" t="inlineStr">
        <is>
          <t>31608230000007</t>
        </is>
      </c>
      <c r="C41" s="6" t="inlineStr">
        <is>
          <t>0797d398-04e1-458f-a273-42c1b0a09584</t>
        </is>
      </c>
      <c r="D41" s="6" t="n">
        <v>4</v>
      </c>
      <c r="E41" s="6" t="inlineStr">
        <is>
          <t>HOLD_ACTION_ATTEMPTED</t>
        </is>
      </c>
      <c r="F41" s="6" t="inlineStr">
        <is>
          <t>Bank-Ops</t>
        </is>
      </c>
      <c r="G41" s="7" t="n">
        <v>45951.57013888889</v>
      </c>
      <c r="H41" s="7" t="n">
        <v>45951.57708333333</v>
      </c>
      <c r="I41" s="6" t="inlineStr">
        <is>
          <t>COMPLETED</t>
        </is>
      </c>
      <c r="J41" s="6" t="n">
        <v>30</v>
      </c>
      <c r="K41" s="11">
        <f>(H41-G41)*1440</f>
        <v/>
      </c>
      <c r="L41" s="10">
        <f>IF(K41&gt;J41,"YES","NO")</f>
        <v/>
      </c>
    </row>
    <row r="42">
      <c r="A42" s="6" t="inlineStr">
        <is>
          <t>I4C-CASE-2025-0007</t>
        </is>
      </c>
      <c r="B42" s="6" t="inlineStr">
        <is>
          <t>31608230000007</t>
        </is>
      </c>
      <c r="C42" s="6" t="inlineStr">
        <is>
          <t>0797d398-04e1-458f-a273-42c1b0a09584</t>
        </is>
      </c>
      <c r="D42" s="6" t="n">
        <v>5</v>
      </c>
      <c r="E42" s="6" t="inlineStr">
        <is>
          <t>STATUS_UPDATE_SENT</t>
        </is>
      </c>
      <c r="F42" s="6" t="inlineStr">
        <is>
          <t>Bank-System</t>
        </is>
      </c>
      <c r="G42" s="7" t="n">
        <v>45951.57708333333</v>
      </c>
      <c r="H42" s="7" t="n">
        <v>45951.58055555556</v>
      </c>
      <c r="I42" s="6" t="inlineStr">
        <is>
          <t>COMPLETED</t>
        </is>
      </c>
      <c r="J42" s="6" t="n">
        <v>60</v>
      </c>
      <c r="K42" s="11">
        <f>(H42-G42)*1440</f>
        <v/>
      </c>
      <c r="L42" s="10">
        <f>IF(K42&gt;J42,"YES","NO")</f>
        <v/>
      </c>
    </row>
    <row r="43">
      <c r="A43" s="6" t="inlineStr">
        <is>
          <t>I4C-CASE-2025-0007</t>
        </is>
      </c>
      <c r="B43" s="6" t="inlineStr">
        <is>
          <t>31608230000007</t>
        </is>
      </c>
      <c r="C43" s="6" t="inlineStr">
        <is>
          <t>0797d398-04e1-458f-a273-42c1b0a09584</t>
        </is>
      </c>
      <c r="D43" s="6" t="n">
        <v>6</v>
      </c>
      <c r="E43" s="6" t="inlineStr">
        <is>
          <t>I4C_STATUS_UPDATE_RESPONSE</t>
        </is>
      </c>
      <c r="F43" s="6" t="inlineStr">
        <is>
          <t>I4C</t>
        </is>
      </c>
      <c r="G43" s="7" t="n">
        <v>45951.58055555556</v>
      </c>
      <c r="H43" s="7" t="n">
        <v>45951.58059027778</v>
      </c>
      <c r="I43" s="6" t="inlineStr">
        <is>
          <t>COMPLETED</t>
        </is>
      </c>
      <c r="J43" s="6" t="n">
        <v>10</v>
      </c>
      <c r="K43" s="11">
        <f>(H43-G43)*1440</f>
        <v/>
      </c>
      <c r="L43" s="10">
        <f>IF(K43&gt;J43,"YES","NO")</f>
        <v/>
      </c>
    </row>
    <row r="44">
      <c r="A44" s="6" t="inlineStr">
        <is>
          <t>I4C-CASE-2025-0008</t>
        </is>
      </c>
      <c r="B44" s="6" t="inlineStr">
        <is>
          <t>31608230000008</t>
        </is>
      </c>
      <c r="C44" s="6" t="inlineStr">
        <is>
          <t>382fbbbe-527b-4d04-ae9f-ca5e0427223c</t>
        </is>
      </c>
      <c r="D44" s="6" t="n">
        <v>1</v>
      </c>
      <c r="E44" s="6" t="inlineStr">
        <is>
          <t>I4C_PUSH_RECEIVED</t>
        </is>
      </c>
      <c r="F44" s="6" t="inlineStr">
        <is>
          <t>I4C</t>
        </is>
      </c>
      <c r="G44" s="7" t="n">
        <v>45951.95833333334</v>
      </c>
      <c r="H44" s="7" t="n">
        <v>45951.95833333334</v>
      </c>
      <c r="I44" s="6" t="inlineStr">
        <is>
          <t>COMPLETED</t>
        </is>
      </c>
      <c r="J44" s="6" t="n">
        <v>1</v>
      </c>
      <c r="K44" s="11">
        <f>(H44-G44)*1440</f>
        <v/>
      </c>
      <c r="L44" s="10">
        <f>IF(K44&gt;J44,"YES","NO")</f>
        <v/>
      </c>
    </row>
    <row r="45">
      <c r="A45" s="6" t="inlineStr">
        <is>
          <t>I4C-CASE-2025-0008</t>
        </is>
      </c>
      <c r="B45" s="6" t="inlineStr">
        <is>
          <t>31608230000008</t>
        </is>
      </c>
      <c r="C45" s="6" t="inlineStr">
        <is>
          <t>382fbbbe-527b-4d04-ae9f-ca5e0427223c</t>
        </is>
      </c>
      <c r="D45" s="6" t="n">
        <v>2</v>
      </c>
      <c r="E45" s="6" t="inlineStr">
        <is>
          <t>BANK_ACK_SENT</t>
        </is>
      </c>
      <c r="F45" s="6" t="inlineStr">
        <is>
          <t>Bank-System</t>
        </is>
      </c>
      <c r="G45" s="7" t="n">
        <v>45951.95833333334</v>
      </c>
      <c r="H45" s="7" t="n">
        <v>45951.95839120371</v>
      </c>
      <c r="I45" s="6" t="inlineStr">
        <is>
          <t>COMPLETED</t>
        </is>
      </c>
      <c r="J45" s="6" t="n">
        <v>1</v>
      </c>
      <c r="K45" s="11">
        <f>(H45-G45)*1440</f>
        <v/>
      </c>
      <c r="L45" s="10">
        <f>IF(K45&gt;J45,"YES","NO")</f>
        <v/>
      </c>
    </row>
    <row r="46">
      <c r="A46" s="6" t="inlineStr">
        <is>
          <t>I4C-CASE-2025-0008</t>
        </is>
      </c>
      <c r="B46" s="6" t="inlineStr">
        <is>
          <t>31608230000008</t>
        </is>
      </c>
      <c r="C46" s="6" t="inlineStr">
        <is>
          <t>382fbbbe-527b-4d04-ae9f-ca5e0427223c</t>
        </is>
      </c>
      <c r="D46" s="6" t="n">
        <v>3</v>
      </c>
      <c r="E46" s="6" t="inlineStr">
        <is>
          <t>ENRICHMENT_ROUTING</t>
        </is>
      </c>
      <c r="F46" s="6" t="inlineStr">
        <is>
          <t>Bank-System</t>
        </is>
      </c>
      <c r="G46" s="7" t="n">
        <v>45951.95839120371</v>
      </c>
      <c r="H46" s="7" t="n">
        <v>45951.96041666667</v>
      </c>
      <c r="I46" s="6" t="inlineStr">
        <is>
          <t>COMPLETED</t>
        </is>
      </c>
      <c r="J46" s="6" t="n">
        <v>15</v>
      </c>
      <c r="K46" s="11">
        <f>(H46-G46)*1440</f>
        <v/>
      </c>
      <c r="L46" s="10">
        <f>IF(K46&gt;J46,"YES","NO")</f>
        <v/>
      </c>
    </row>
    <row r="47">
      <c r="A47" s="6" t="inlineStr">
        <is>
          <t>I4C-CASE-2025-0008</t>
        </is>
      </c>
      <c r="B47" s="6" t="inlineStr">
        <is>
          <t>31608230000008</t>
        </is>
      </c>
      <c r="C47" s="6" t="inlineStr">
        <is>
          <t>382fbbbe-527b-4d04-ae9f-ca5e0427223c</t>
        </is>
      </c>
      <c r="D47" s="6" t="n">
        <v>4</v>
      </c>
      <c r="E47" s="6" t="inlineStr">
        <is>
          <t>HOLD_ACTION_ATTEMPTED</t>
        </is>
      </c>
      <c r="F47" s="6" t="inlineStr">
        <is>
          <t>Bank-Ops</t>
        </is>
      </c>
      <c r="G47" s="7" t="n">
        <v>45951.96041666667</v>
      </c>
      <c r="H47" s="7" t="n">
        <v>45951.97361111111</v>
      </c>
      <c r="I47" s="6" t="inlineStr">
        <is>
          <t>COMPLETED</t>
        </is>
      </c>
      <c r="J47" s="6" t="n">
        <v>30</v>
      </c>
      <c r="K47" s="11">
        <f>(H47-G47)*1440</f>
        <v/>
      </c>
      <c r="L47" s="10">
        <f>IF(K47&gt;J47,"YES","NO")</f>
        <v/>
      </c>
    </row>
    <row r="48">
      <c r="A48" s="6" t="inlineStr">
        <is>
          <t>I4C-CASE-2025-0008</t>
        </is>
      </c>
      <c r="B48" s="6" t="inlineStr">
        <is>
          <t>31608230000008</t>
        </is>
      </c>
      <c r="C48" s="6" t="inlineStr">
        <is>
          <t>382fbbbe-527b-4d04-ae9f-ca5e0427223c</t>
        </is>
      </c>
      <c r="D48" s="6" t="n">
        <v>5</v>
      </c>
      <c r="E48" s="6" t="inlineStr">
        <is>
          <t>STATUS_UPDATE_SENT</t>
        </is>
      </c>
      <c r="F48" s="6" t="inlineStr">
        <is>
          <t>Bank-System</t>
        </is>
      </c>
      <c r="G48" s="7" t="n">
        <v>45951.97361111111</v>
      </c>
      <c r="H48" s="7" t="n">
        <v>45951.97777777778</v>
      </c>
      <c r="I48" s="6" t="inlineStr">
        <is>
          <t>COMPLETED</t>
        </is>
      </c>
      <c r="J48" s="6" t="n">
        <v>60</v>
      </c>
      <c r="K48" s="11">
        <f>(H48-G48)*1440</f>
        <v/>
      </c>
      <c r="L48" s="10">
        <f>IF(K48&gt;J48,"YES","NO")</f>
        <v/>
      </c>
    </row>
    <row r="49">
      <c r="A49" s="6" t="inlineStr">
        <is>
          <t>I4C-CASE-2025-0008</t>
        </is>
      </c>
      <c r="B49" s="6" t="inlineStr">
        <is>
          <t>31608230000008</t>
        </is>
      </c>
      <c r="C49" s="6" t="inlineStr">
        <is>
          <t>382fbbbe-527b-4d04-ae9f-ca5e0427223c</t>
        </is>
      </c>
      <c r="D49" s="6" t="n">
        <v>6</v>
      </c>
      <c r="E49" s="6" t="inlineStr">
        <is>
          <t>I4C_STATUS_UPDATE_RESPONSE</t>
        </is>
      </c>
      <c r="F49" s="6" t="inlineStr">
        <is>
          <t>I4C</t>
        </is>
      </c>
      <c r="G49" s="7" t="n">
        <v>45951.97777777778</v>
      </c>
      <c r="H49" s="7" t="n">
        <v>45951.9778125</v>
      </c>
      <c r="I49" s="6" t="inlineStr">
        <is>
          <t>COMPLETED</t>
        </is>
      </c>
      <c r="J49" s="6" t="n">
        <v>10</v>
      </c>
      <c r="K49" s="11">
        <f>(H49-G49)*1440</f>
        <v/>
      </c>
      <c r="L49" s="10">
        <f>IF(K49&gt;J49,"YES","NO")</f>
        <v/>
      </c>
    </row>
    <row r="50">
      <c r="A50" s="6" t="inlineStr">
        <is>
          <t>I4C-CASE-2025-0009</t>
        </is>
      </c>
      <c r="B50" s="6" t="inlineStr">
        <is>
          <t>31608230000009</t>
        </is>
      </c>
      <c r="C50" s="6" t="inlineStr">
        <is>
          <t>8ebca7ef-f7dc-40cd-a99e-7537d57a4b40</t>
        </is>
      </c>
      <c r="D50" s="6" t="n">
        <v>1</v>
      </c>
      <c r="E50" s="6" t="inlineStr">
        <is>
          <t>I4C_PUSH_RECEIVED</t>
        </is>
      </c>
      <c r="F50" s="6" t="inlineStr">
        <is>
          <t>I4C</t>
        </is>
      </c>
      <c r="G50" s="7" t="n">
        <v>45960.39930555555</v>
      </c>
      <c r="H50" s="7" t="n">
        <v>45960.39930555555</v>
      </c>
      <c r="I50" s="6" t="inlineStr">
        <is>
          <t>COMPLETED</t>
        </is>
      </c>
      <c r="J50" s="6" t="n">
        <v>1</v>
      </c>
      <c r="K50" s="11">
        <f>(H50-G50)*1440</f>
        <v/>
      </c>
      <c r="L50" s="10">
        <f>IF(K50&gt;J50,"YES","NO")</f>
        <v/>
      </c>
    </row>
    <row r="51">
      <c r="A51" s="6" t="inlineStr">
        <is>
          <t>I4C-CASE-2025-0009</t>
        </is>
      </c>
      <c r="B51" s="6" t="inlineStr">
        <is>
          <t>31608230000009</t>
        </is>
      </c>
      <c r="C51" s="6" t="inlineStr">
        <is>
          <t>8ebca7ef-f7dc-40cd-a99e-7537d57a4b40</t>
        </is>
      </c>
      <c r="D51" s="6" t="n">
        <v>2</v>
      </c>
      <c r="E51" s="6" t="inlineStr">
        <is>
          <t>BANK_ACK_SENT</t>
        </is>
      </c>
      <c r="F51" s="6" t="inlineStr">
        <is>
          <t>Bank-System</t>
        </is>
      </c>
      <c r="G51" s="7" t="n">
        <v>45960.39930555555</v>
      </c>
      <c r="H51" s="7" t="n">
        <v>45960.39936342592</v>
      </c>
      <c r="I51" s="6" t="inlineStr">
        <is>
          <t>COMPLETED</t>
        </is>
      </c>
      <c r="J51" s="6" t="n">
        <v>1</v>
      </c>
      <c r="K51" s="11">
        <f>(H51-G51)*1440</f>
        <v/>
      </c>
      <c r="L51" s="10">
        <f>IF(K51&gt;J51,"YES","NO")</f>
        <v/>
      </c>
    </row>
    <row r="52">
      <c r="A52" s="6" t="inlineStr">
        <is>
          <t>I4C-CASE-2025-0009</t>
        </is>
      </c>
      <c r="B52" s="6" t="inlineStr">
        <is>
          <t>31608230000009</t>
        </is>
      </c>
      <c r="C52" s="6" t="inlineStr">
        <is>
          <t>8ebca7ef-f7dc-40cd-a99e-7537d57a4b40</t>
        </is>
      </c>
      <c r="D52" s="6" t="n">
        <v>3</v>
      </c>
      <c r="E52" s="6" t="inlineStr">
        <is>
          <t>ENRICHMENT_ROUTING</t>
        </is>
      </c>
      <c r="F52" s="6" t="inlineStr">
        <is>
          <t>Bank-System</t>
        </is>
      </c>
      <c r="G52" s="7" t="n">
        <v>45960.39936342592</v>
      </c>
      <c r="H52" s="7" t="n">
        <v>45960.40138888889</v>
      </c>
      <c r="I52" s="6" t="inlineStr">
        <is>
          <t>COMPLETED</t>
        </is>
      </c>
      <c r="J52" s="6" t="n">
        <v>15</v>
      </c>
      <c r="K52" s="11">
        <f>(H52-G52)*1440</f>
        <v/>
      </c>
      <c r="L52" s="10">
        <f>IF(K52&gt;J52,"YES","NO")</f>
        <v/>
      </c>
    </row>
    <row r="53">
      <c r="A53" s="6" t="inlineStr">
        <is>
          <t>I4C-CASE-2025-0009</t>
        </is>
      </c>
      <c r="B53" s="6" t="inlineStr">
        <is>
          <t>31608230000009</t>
        </is>
      </c>
      <c r="C53" s="6" t="inlineStr">
        <is>
          <t>8ebca7ef-f7dc-40cd-a99e-7537d57a4b40</t>
        </is>
      </c>
      <c r="D53" s="6" t="n">
        <v>4</v>
      </c>
      <c r="E53" s="6" t="inlineStr">
        <is>
          <t>HOLD_ACTION_ATTEMPTED</t>
        </is>
      </c>
      <c r="F53" s="6" t="inlineStr">
        <is>
          <t>Bank-Ops</t>
        </is>
      </c>
      <c r="G53" s="7" t="n">
        <v>45960.40138888889</v>
      </c>
      <c r="H53" s="7" t="n">
        <v>45960.40972222222</v>
      </c>
      <c r="I53" s="6" t="inlineStr">
        <is>
          <t>COMPLETED</t>
        </is>
      </c>
      <c r="J53" s="6" t="n">
        <v>30</v>
      </c>
      <c r="K53" s="11">
        <f>(H53-G53)*1440</f>
        <v/>
      </c>
      <c r="L53" s="10">
        <f>IF(K53&gt;J53,"YES","NO")</f>
        <v/>
      </c>
    </row>
    <row r="54">
      <c r="A54" s="6" t="inlineStr">
        <is>
          <t>I4C-CASE-2025-0009</t>
        </is>
      </c>
      <c r="B54" s="6" t="inlineStr">
        <is>
          <t>31608230000009</t>
        </is>
      </c>
      <c r="C54" s="6" t="inlineStr">
        <is>
          <t>8ebca7ef-f7dc-40cd-a99e-7537d57a4b40</t>
        </is>
      </c>
      <c r="D54" s="6" t="n">
        <v>5</v>
      </c>
      <c r="E54" s="6" t="inlineStr">
        <is>
          <t>STATUS_UPDATE_SENT</t>
        </is>
      </c>
      <c r="F54" s="6" t="inlineStr">
        <is>
          <t>Bank-System</t>
        </is>
      </c>
      <c r="G54" s="7" t="n">
        <v>45960.40972222222</v>
      </c>
      <c r="H54" s="7" t="n">
        <v>45960.41180555556</v>
      </c>
      <c r="I54" s="6" t="inlineStr">
        <is>
          <t>COMPLETED</t>
        </is>
      </c>
      <c r="J54" s="6" t="n">
        <v>60</v>
      </c>
      <c r="K54" s="11">
        <f>(H54-G54)*1440</f>
        <v/>
      </c>
      <c r="L54" s="10">
        <f>IF(K54&gt;J54,"YES","NO")</f>
        <v/>
      </c>
    </row>
    <row r="55">
      <c r="A55" s="6" t="inlineStr">
        <is>
          <t>I4C-CASE-2025-0009</t>
        </is>
      </c>
      <c r="B55" s="6" t="inlineStr">
        <is>
          <t>31608230000009</t>
        </is>
      </c>
      <c r="C55" s="6" t="inlineStr">
        <is>
          <t>8ebca7ef-f7dc-40cd-a99e-7537d57a4b40</t>
        </is>
      </c>
      <c r="D55" s="6" t="n">
        <v>6</v>
      </c>
      <c r="E55" s="6" t="inlineStr">
        <is>
          <t>I4C_STATUS_UPDATE_RESPONSE</t>
        </is>
      </c>
      <c r="F55" s="6" t="inlineStr">
        <is>
          <t>I4C</t>
        </is>
      </c>
      <c r="G55" s="7" t="n">
        <v>45960.41180555556</v>
      </c>
      <c r="H55" s="7" t="n">
        <v>45960.41184027777</v>
      </c>
      <c r="I55" s="6" t="inlineStr">
        <is>
          <t>COMPLETED</t>
        </is>
      </c>
      <c r="J55" s="6" t="n">
        <v>10</v>
      </c>
      <c r="K55" s="11">
        <f>(H55-G55)*1440</f>
        <v/>
      </c>
      <c r="L55" s="10">
        <f>IF(K55&gt;J55,"YES","NO")</f>
        <v/>
      </c>
    </row>
    <row r="56">
      <c r="A56" s="6" t="inlineStr">
        <is>
          <t>I4C-CASE-2025-0010</t>
        </is>
      </c>
      <c r="B56" s="6" t="inlineStr">
        <is>
          <t>31608230000010</t>
        </is>
      </c>
      <c r="C56" s="6" t="inlineStr">
        <is>
          <t>7ccbb3c8-ddb8-415f-9d43-4be9e9a11433</t>
        </is>
      </c>
      <c r="D56" s="6" t="n">
        <v>1</v>
      </c>
      <c r="E56" s="6" t="inlineStr">
        <is>
          <t>I4C_PUSH_RECEIVED</t>
        </is>
      </c>
      <c r="F56" s="6" t="inlineStr">
        <is>
          <t>I4C</t>
        </is>
      </c>
      <c r="G56" s="7" t="n">
        <v>45948.34375</v>
      </c>
      <c r="H56" s="7" t="n">
        <v>45948.34375</v>
      </c>
      <c r="I56" s="6" t="inlineStr">
        <is>
          <t>COMPLETED</t>
        </is>
      </c>
      <c r="J56" s="6" t="n">
        <v>1</v>
      </c>
      <c r="K56" s="11">
        <f>(H56-G56)*1440</f>
        <v/>
      </c>
      <c r="L56" s="10">
        <f>IF(K56&gt;J56,"YES","NO")</f>
        <v/>
      </c>
    </row>
    <row r="57">
      <c r="A57" s="6" t="inlineStr">
        <is>
          <t>I4C-CASE-2025-0010</t>
        </is>
      </c>
      <c r="B57" s="6" t="inlineStr">
        <is>
          <t>31608230000010</t>
        </is>
      </c>
      <c r="C57" s="6" t="inlineStr">
        <is>
          <t>7ccbb3c8-ddb8-415f-9d43-4be9e9a11433</t>
        </is>
      </c>
      <c r="D57" s="6" t="n">
        <v>2</v>
      </c>
      <c r="E57" s="6" t="inlineStr">
        <is>
          <t>BANK_ACK_SENT</t>
        </is>
      </c>
      <c r="F57" s="6" t="inlineStr">
        <is>
          <t>Bank-System</t>
        </is>
      </c>
      <c r="G57" s="7" t="n">
        <v>45948.34375</v>
      </c>
      <c r="H57" s="7" t="n">
        <v>45948.34380787037</v>
      </c>
      <c r="I57" s="6" t="inlineStr">
        <is>
          <t>COMPLETED</t>
        </is>
      </c>
      <c r="J57" s="6" t="n">
        <v>1</v>
      </c>
      <c r="K57" s="11">
        <f>(H57-G57)*1440</f>
        <v/>
      </c>
      <c r="L57" s="10">
        <f>IF(K57&gt;J57,"YES","NO")</f>
        <v/>
      </c>
    </row>
    <row r="58">
      <c r="A58" s="6" t="inlineStr">
        <is>
          <t>I4C-CASE-2025-0010</t>
        </is>
      </c>
      <c r="B58" s="6" t="inlineStr">
        <is>
          <t>31608230000010</t>
        </is>
      </c>
      <c r="C58" s="6" t="inlineStr">
        <is>
          <t>7ccbb3c8-ddb8-415f-9d43-4be9e9a11433</t>
        </is>
      </c>
      <c r="D58" s="6" t="n">
        <v>3</v>
      </c>
      <c r="E58" s="6" t="inlineStr">
        <is>
          <t>ENRICHMENT_ROUTING</t>
        </is>
      </c>
      <c r="F58" s="6" t="inlineStr">
        <is>
          <t>Bank-System</t>
        </is>
      </c>
      <c r="G58" s="7" t="n">
        <v>45948.34380787037</v>
      </c>
      <c r="H58" s="7" t="n">
        <v>45948.34722222222</v>
      </c>
      <c r="I58" s="6" t="inlineStr">
        <is>
          <t>COMPLETED</t>
        </is>
      </c>
      <c r="J58" s="6" t="n">
        <v>15</v>
      </c>
      <c r="K58" s="11">
        <f>(H58-G58)*1440</f>
        <v/>
      </c>
      <c r="L58" s="10">
        <f>IF(K58&gt;J58,"YES","NO")</f>
        <v/>
      </c>
    </row>
    <row r="59">
      <c r="A59" s="6" t="inlineStr">
        <is>
          <t>I4C-CASE-2025-0010</t>
        </is>
      </c>
      <c r="B59" s="6" t="inlineStr">
        <is>
          <t>31608230000010</t>
        </is>
      </c>
      <c r="C59" s="6" t="inlineStr">
        <is>
          <t>7ccbb3c8-ddb8-415f-9d43-4be9e9a11433</t>
        </is>
      </c>
      <c r="D59" s="6" t="n">
        <v>4</v>
      </c>
      <c r="E59" s="6" t="inlineStr">
        <is>
          <t>HOLD_ACTION_ATTEMPTED</t>
        </is>
      </c>
      <c r="F59" s="6" t="inlineStr">
        <is>
          <t>Bank-Ops</t>
        </is>
      </c>
      <c r="G59" s="7" t="n">
        <v>45948.34722222222</v>
      </c>
      <c r="H59" s="7" t="n">
        <v>45948.35833333333</v>
      </c>
      <c r="I59" s="6" t="inlineStr">
        <is>
          <t>COMPLETED</t>
        </is>
      </c>
      <c r="J59" s="6" t="n">
        <v>30</v>
      </c>
      <c r="K59" s="11">
        <f>(H59-G59)*1440</f>
        <v/>
      </c>
      <c r="L59" s="10">
        <f>IF(K59&gt;J59,"YES","NO")</f>
        <v/>
      </c>
    </row>
    <row r="60">
      <c r="A60" s="6" t="inlineStr">
        <is>
          <t>I4C-CASE-2025-0010</t>
        </is>
      </c>
      <c r="B60" s="6" t="inlineStr">
        <is>
          <t>31608230000010</t>
        </is>
      </c>
      <c r="C60" s="6" t="inlineStr">
        <is>
          <t>7ccbb3c8-ddb8-415f-9d43-4be9e9a11433</t>
        </is>
      </c>
      <c r="D60" s="6" t="n">
        <v>5</v>
      </c>
      <c r="E60" s="6" t="inlineStr">
        <is>
          <t>STATUS_UPDATE_SENT</t>
        </is>
      </c>
      <c r="F60" s="6" t="inlineStr">
        <is>
          <t>Bank-System</t>
        </is>
      </c>
      <c r="G60" s="7" t="n">
        <v>45948.35833333333</v>
      </c>
      <c r="H60" s="7" t="n">
        <v>45948.36527777778</v>
      </c>
      <c r="I60" s="6" t="inlineStr">
        <is>
          <t>COMPLETED</t>
        </is>
      </c>
      <c r="J60" s="6" t="n">
        <v>60</v>
      </c>
      <c r="K60" s="11">
        <f>(H60-G60)*1440</f>
        <v/>
      </c>
      <c r="L60" s="10">
        <f>IF(K60&gt;J60,"YES","NO")</f>
        <v/>
      </c>
    </row>
    <row r="61">
      <c r="A61" s="6" t="inlineStr">
        <is>
          <t>I4C-CASE-2025-0010</t>
        </is>
      </c>
      <c r="B61" s="6" t="inlineStr">
        <is>
          <t>31608230000010</t>
        </is>
      </c>
      <c r="C61" s="6" t="inlineStr">
        <is>
          <t>7ccbb3c8-ddb8-415f-9d43-4be9e9a11433</t>
        </is>
      </c>
      <c r="D61" s="6" t="n">
        <v>6</v>
      </c>
      <c r="E61" s="6" t="inlineStr">
        <is>
          <t>I4C_STATUS_UPDATE_RESPONSE</t>
        </is>
      </c>
      <c r="F61" s="6" t="inlineStr">
        <is>
          <t>I4C</t>
        </is>
      </c>
      <c r="G61" s="7" t="n">
        <v>45948.36527777778</v>
      </c>
      <c r="H61" s="7" t="n">
        <v>45948.3653125</v>
      </c>
      <c r="I61" s="6" t="inlineStr">
        <is>
          <t>COMPLETED</t>
        </is>
      </c>
      <c r="J61" s="6" t="n">
        <v>10</v>
      </c>
      <c r="K61" s="11">
        <f>(H61-G61)*1440</f>
        <v/>
      </c>
      <c r="L61" s="10">
        <f>IF(K61&gt;J61,"YES","NO")</f>
        <v/>
      </c>
    </row>
    <row r="62">
      <c r="A62" s="6" t="inlineStr">
        <is>
          <t>I4C-CASE-2025-0011</t>
        </is>
      </c>
      <c r="B62" s="6" t="inlineStr">
        <is>
          <t>31608230000011</t>
        </is>
      </c>
      <c r="C62" s="6" t="inlineStr">
        <is>
          <t>f2a9ed34-112d-43e1-99ae-06af4acc27ef</t>
        </is>
      </c>
      <c r="D62" s="6" t="n">
        <v>1</v>
      </c>
      <c r="E62" s="6" t="inlineStr">
        <is>
          <t>I4C_PUSH_RECEIVED</t>
        </is>
      </c>
      <c r="F62" s="6" t="inlineStr">
        <is>
          <t>I4C</t>
        </is>
      </c>
      <c r="G62" s="7" t="n">
        <v>45933.5</v>
      </c>
      <c r="H62" s="7" t="n">
        <v>45933.5</v>
      </c>
      <c r="I62" s="6" t="inlineStr">
        <is>
          <t>COMPLETED</t>
        </is>
      </c>
      <c r="J62" s="6" t="n">
        <v>1</v>
      </c>
      <c r="K62" s="11">
        <f>(H62-G62)*1440</f>
        <v/>
      </c>
      <c r="L62" s="10">
        <f>IF(K62&gt;J62,"YES","NO")</f>
        <v/>
      </c>
    </row>
    <row r="63">
      <c r="A63" s="6" t="inlineStr">
        <is>
          <t>I4C-CASE-2025-0011</t>
        </is>
      </c>
      <c r="B63" s="6" t="inlineStr">
        <is>
          <t>31608230000011</t>
        </is>
      </c>
      <c r="C63" s="6" t="inlineStr">
        <is>
          <t>f2a9ed34-112d-43e1-99ae-06af4acc27ef</t>
        </is>
      </c>
      <c r="D63" s="6" t="n">
        <v>2</v>
      </c>
      <c r="E63" s="6" t="inlineStr">
        <is>
          <t>BANK_ACK_SENT</t>
        </is>
      </c>
      <c r="F63" s="6" t="inlineStr">
        <is>
          <t>Bank-System</t>
        </is>
      </c>
      <c r="G63" s="7" t="n">
        <v>45933.5</v>
      </c>
      <c r="H63" s="7" t="n">
        <v>45933.50005787037</v>
      </c>
      <c r="I63" s="6" t="inlineStr">
        <is>
          <t>COMPLETED</t>
        </is>
      </c>
      <c r="J63" s="6" t="n">
        <v>1</v>
      </c>
      <c r="K63" s="11">
        <f>(H63-G63)*1440</f>
        <v/>
      </c>
      <c r="L63" s="10">
        <f>IF(K63&gt;J63,"YES","NO")</f>
        <v/>
      </c>
    </row>
    <row r="64">
      <c r="A64" s="6" t="inlineStr">
        <is>
          <t>I4C-CASE-2025-0011</t>
        </is>
      </c>
      <c r="B64" s="6" t="inlineStr">
        <is>
          <t>31608230000011</t>
        </is>
      </c>
      <c r="C64" s="6" t="inlineStr">
        <is>
          <t>f2a9ed34-112d-43e1-99ae-06af4acc27ef</t>
        </is>
      </c>
      <c r="D64" s="6" t="n">
        <v>3</v>
      </c>
      <c r="E64" s="6" t="inlineStr">
        <is>
          <t>ENRICHMENT_ROUTING</t>
        </is>
      </c>
      <c r="F64" s="6" t="inlineStr">
        <is>
          <t>Bank-System</t>
        </is>
      </c>
      <c r="G64" s="7" t="n">
        <v>45933.50005787037</v>
      </c>
      <c r="H64" s="7" t="n">
        <v>45933.50416666667</v>
      </c>
      <c r="I64" s="6" t="inlineStr">
        <is>
          <t>COMPLETED</t>
        </is>
      </c>
      <c r="J64" s="6" t="n">
        <v>15</v>
      </c>
      <c r="K64" s="11">
        <f>(H64-G64)*1440</f>
        <v/>
      </c>
      <c r="L64" s="10">
        <f>IF(K64&gt;J64,"YES","NO")</f>
        <v/>
      </c>
    </row>
    <row r="65">
      <c r="A65" s="6" t="inlineStr">
        <is>
          <t>I4C-CASE-2025-0011</t>
        </is>
      </c>
      <c r="B65" s="6" t="inlineStr">
        <is>
          <t>31608230000011</t>
        </is>
      </c>
      <c r="C65" s="6" t="inlineStr">
        <is>
          <t>f2a9ed34-112d-43e1-99ae-06af4acc27ef</t>
        </is>
      </c>
      <c r="D65" s="6" t="n">
        <v>4</v>
      </c>
      <c r="E65" s="6" t="inlineStr">
        <is>
          <t>HOLD_ACTION_ATTEMPTED</t>
        </is>
      </c>
      <c r="F65" s="6" t="inlineStr">
        <is>
          <t>Bank-Ops</t>
        </is>
      </c>
      <c r="G65" s="7" t="n">
        <v>45933.50416666667</v>
      </c>
      <c r="H65" s="7" t="n">
        <v>45933.5125</v>
      </c>
      <c r="I65" s="6" t="inlineStr">
        <is>
          <t>COMPLETED</t>
        </is>
      </c>
      <c r="J65" s="6" t="n">
        <v>30</v>
      </c>
      <c r="K65" s="11">
        <f>(H65-G65)*1440</f>
        <v/>
      </c>
      <c r="L65" s="10">
        <f>IF(K65&gt;J65,"YES","NO")</f>
        <v/>
      </c>
    </row>
    <row r="66">
      <c r="A66" s="6" t="inlineStr">
        <is>
          <t>I4C-CASE-2025-0011</t>
        </is>
      </c>
      <c r="B66" s="6" t="inlineStr">
        <is>
          <t>31608230000011</t>
        </is>
      </c>
      <c r="C66" s="6" t="inlineStr">
        <is>
          <t>f2a9ed34-112d-43e1-99ae-06af4acc27ef</t>
        </is>
      </c>
      <c r="D66" s="6" t="n">
        <v>5</v>
      </c>
      <c r="E66" s="6" t="inlineStr">
        <is>
          <t>STATUS_UPDATE_SENT</t>
        </is>
      </c>
      <c r="F66" s="6" t="inlineStr">
        <is>
          <t>Bank-System</t>
        </is>
      </c>
      <c r="G66" s="7" t="n">
        <v>45933.5125</v>
      </c>
      <c r="H66" s="7" t="n">
        <v>45933.51319444444</v>
      </c>
      <c r="I66" s="6" t="inlineStr">
        <is>
          <t>COMPLETED</t>
        </is>
      </c>
      <c r="J66" s="6" t="n">
        <v>60</v>
      </c>
      <c r="K66" s="11">
        <f>(H66-G66)*1440</f>
        <v/>
      </c>
      <c r="L66" s="10">
        <f>IF(K66&gt;J66,"YES","NO")</f>
        <v/>
      </c>
    </row>
    <row r="67">
      <c r="A67" s="6" t="inlineStr">
        <is>
          <t>I4C-CASE-2025-0011</t>
        </is>
      </c>
      <c r="B67" s="6" t="inlineStr">
        <is>
          <t>31608230000011</t>
        </is>
      </c>
      <c r="C67" s="6" t="inlineStr">
        <is>
          <t>f2a9ed34-112d-43e1-99ae-06af4acc27ef</t>
        </is>
      </c>
      <c r="D67" s="6" t="n">
        <v>6</v>
      </c>
      <c r="E67" s="6" t="inlineStr">
        <is>
          <t>I4C_STATUS_UPDATE_RESPONSE</t>
        </is>
      </c>
      <c r="F67" s="6" t="inlineStr">
        <is>
          <t>I4C</t>
        </is>
      </c>
      <c r="G67" s="7" t="n">
        <v>45933.51319444444</v>
      </c>
      <c r="H67" s="7" t="n">
        <v>45933.51322916667</v>
      </c>
      <c r="I67" s="6" t="inlineStr">
        <is>
          <t>COMPLETED</t>
        </is>
      </c>
      <c r="J67" s="6" t="n">
        <v>10</v>
      </c>
      <c r="K67" s="11">
        <f>(H67-G67)*1440</f>
        <v/>
      </c>
      <c r="L67" s="10">
        <f>IF(K67&gt;J67,"YES","NO")</f>
        <v/>
      </c>
    </row>
    <row r="68">
      <c r="A68" s="6" t="inlineStr">
        <is>
          <t>I4C-CASE-2025-0012</t>
        </is>
      </c>
      <c r="B68" s="6" t="inlineStr">
        <is>
          <t>31608230000012</t>
        </is>
      </c>
      <c r="C68" s="6" t="inlineStr">
        <is>
          <t>fb1b1cf6-96ac-46a4-84ac-3eacc39b2bd8</t>
        </is>
      </c>
      <c r="D68" s="6" t="n">
        <v>1</v>
      </c>
      <c r="E68" s="6" t="inlineStr">
        <is>
          <t>I4C_PUSH_RECEIVED</t>
        </is>
      </c>
      <c r="F68" s="6" t="inlineStr">
        <is>
          <t>I4C</t>
        </is>
      </c>
      <c r="G68" s="7" t="n">
        <v>45946.88888888889</v>
      </c>
      <c r="H68" s="7" t="n">
        <v>45946.88888888889</v>
      </c>
      <c r="I68" s="6" t="inlineStr">
        <is>
          <t>COMPLETED</t>
        </is>
      </c>
      <c r="J68" s="6" t="n">
        <v>1</v>
      </c>
      <c r="K68" s="11">
        <f>(H68-G68)*1440</f>
        <v/>
      </c>
      <c r="L68" s="10">
        <f>IF(K68&gt;J68,"YES","NO")</f>
        <v/>
      </c>
    </row>
    <row r="69">
      <c r="A69" s="6" t="inlineStr">
        <is>
          <t>I4C-CASE-2025-0012</t>
        </is>
      </c>
      <c r="B69" s="6" t="inlineStr">
        <is>
          <t>31608230000012</t>
        </is>
      </c>
      <c r="C69" s="6" t="inlineStr">
        <is>
          <t>fb1b1cf6-96ac-46a4-84ac-3eacc39b2bd8</t>
        </is>
      </c>
      <c r="D69" s="6" t="n">
        <v>2</v>
      </c>
      <c r="E69" s="6" t="inlineStr">
        <is>
          <t>BANK_ACK_SENT</t>
        </is>
      </c>
      <c r="F69" s="6" t="inlineStr">
        <is>
          <t>Bank-System</t>
        </is>
      </c>
      <c r="G69" s="7" t="n">
        <v>45946.88888888889</v>
      </c>
      <c r="H69" s="7" t="n">
        <v>45946.88894675926</v>
      </c>
      <c r="I69" s="6" t="inlineStr">
        <is>
          <t>COMPLETED</t>
        </is>
      </c>
      <c r="J69" s="6" t="n">
        <v>1</v>
      </c>
      <c r="K69" s="11">
        <f>(H69-G69)*1440</f>
        <v/>
      </c>
      <c r="L69" s="10">
        <f>IF(K69&gt;J69,"YES","NO")</f>
        <v/>
      </c>
    </row>
    <row r="70">
      <c r="A70" s="6" t="inlineStr">
        <is>
          <t>I4C-CASE-2025-0012</t>
        </is>
      </c>
      <c r="B70" s="6" t="inlineStr">
        <is>
          <t>31608230000012</t>
        </is>
      </c>
      <c r="C70" s="6" t="inlineStr">
        <is>
          <t>fb1b1cf6-96ac-46a4-84ac-3eacc39b2bd8</t>
        </is>
      </c>
      <c r="D70" s="6" t="n">
        <v>3</v>
      </c>
      <c r="E70" s="6" t="inlineStr">
        <is>
          <t>ENRICHMENT_ROUTING</t>
        </is>
      </c>
      <c r="F70" s="6" t="inlineStr">
        <is>
          <t>Bank-System</t>
        </is>
      </c>
      <c r="G70" s="7" t="n">
        <v>45946.88894675926</v>
      </c>
      <c r="H70" s="7" t="n">
        <v>45946.89097222222</v>
      </c>
      <c r="I70" s="6" t="inlineStr">
        <is>
          <t>COMPLETED</t>
        </is>
      </c>
      <c r="J70" s="6" t="n">
        <v>15</v>
      </c>
      <c r="K70" s="11">
        <f>(H70-G70)*1440</f>
        <v/>
      </c>
      <c r="L70" s="10">
        <f>IF(K70&gt;J70,"YES","NO")</f>
        <v/>
      </c>
    </row>
    <row r="71">
      <c r="A71" s="6" t="inlineStr">
        <is>
          <t>I4C-CASE-2025-0012</t>
        </is>
      </c>
      <c r="B71" s="6" t="inlineStr">
        <is>
          <t>31608230000012</t>
        </is>
      </c>
      <c r="C71" s="6" t="inlineStr">
        <is>
          <t>fb1b1cf6-96ac-46a4-84ac-3eacc39b2bd8</t>
        </is>
      </c>
      <c r="D71" s="6" t="n">
        <v>4</v>
      </c>
      <c r="E71" s="6" t="inlineStr">
        <is>
          <t>HOLD_ACTION_ATTEMPTED</t>
        </is>
      </c>
      <c r="F71" s="6" t="inlineStr">
        <is>
          <t>Bank-Ops</t>
        </is>
      </c>
      <c r="G71" s="7" t="n">
        <v>45946.89097222222</v>
      </c>
      <c r="H71" s="7" t="n">
        <v>45946.89375</v>
      </c>
      <c r="I71" s="6" t="inlineStr">
        <is>
          <t>COMPLETED</t>
        </is>
      </c>
      <c r="J71" s="6" t="n">
        <v>30</v>
      </c>
      <c r="K71" s="11">
        <f>(H71-G71)*1440</f>
        <v/>
      </c>
      <c r="L71" s="10">
        <f>IF(K71&gt;J71,"YES","NO")</f>
        <v/>
      </c>
    </row>
    <row r="72">
      <c r="A72" s="6" t="inlineStr">
        <is>
          <t>I4C-CASE-2025-0012</t>
        </is>
      </c>
      <c r="B72" s="6" t="inlineStr">
        <is>
          <t>31608230000012</t>
        </is>
      </c>
      <c r="C72" s="6" t="inlineStr">
        <is>
          <t>fb1b1cf6-96ac-46a4-84ac-3eacc39b2bd8</t>
        </is>
      </c>
      <c r="D72" s="6" t="n">
        <v>5</v>
      </c>
      <c r="E72" s="6" t="inlineStr">
        <is>
          <t>STATUS_UPDATE_SENT</t>
        </is>
      </c>
      <c r="F72" s="6" t="inlineStr">
        <is>
          <t>Bank-System</t>
        </is>
      </c>
      <c r="G72" s="7" t="n">
        <v>45946.89375</v>
      </c>
      <c r="H72" s="7" t="n">
        <v>45946.89861111111</v>
      </c>
      <c r="I72" s="6" t="inlineStr">
        <is>
          <t>COMPLETED</t>
        </is>
      </c>
      <c r="J72" s="6" t="n">
        <v>60</v>
      </c>
      <c r="K72" s="11">
        <f>(H72-G72)*1440</f>
        <v/>
      </c>
      <c r="L72" s="10">
        <f>IF(K72&gt;J72,"YES","NO")</f>
        <v/>
      </c>
    </row>
    <row r="73">
      <c r="A73" s="6" t="inlineStr">
        <is>
          <t>I4C-CASE-2025-0012</t>
        </is>
      </c>
      <c r="B73" s="6" t="inlineStr">
        <is>
          <t>31608230000012</t>
        </is>
      </c>
      <c r="C73" s="6" t="inlineStr">
        <is>
          <t>fb1b1cf6-96ac-46a4-84ac-3eacc39b2bd8</t>
        </is>
      </c>
      <c r="D73" s="6" t="n">
        <v>6</v>
      </c>
      <c r="E73" s="6" t="inlineStr">
        <is>
          <t>I4C_STATUS_UPDATE_RESPONSE</t>
        </is>
      </c>
      <c r="F73" s="6" t="inlineStr">
        <is>
          <t>I4C</t>
        </is>
      </c>
      <c r="G73" s="7" t="n">
        <v>45946.89861111111</v>
      </c>
      <c r="H73" s="7" t="n">
        <v>45946.89864583333</v>
      </c>
      <c r="I73" s="6" t="inlineStr">
        <is>
          <t>COMPLETED</t>
        </is>
      </c>
      <c r="J73" s="6" t="n">
        <v>10</v>
      </c>
      <c r="K73" s="11">
        <f>(H73-G73)*1440</f>
        <v/>
      </c>
      <c r="L73" s="10">
        <f>IF(K73&gt;J73,"YES","NO")</f>
        <v/>
      </c>
    </row>
    <row r="74">
      <c r="A74" s="6" t="inlineStr">
        <is>
          <t>I4C-CASE-2025-0013</t>
        </is>
      </c>
      <c r="B74" s="6" t="inlineStr">
        <is>
          <t>31608230000013</t>
        </is>
      </c>
      <c r="C74" s="6" t="inlineStr">
        <is>
          <t>17c42136-f082-48bc-b610-0672d0d42072</t>
        </is>
      </c>
      <c r="D74" s="6" t="n">
        <v>1</v>
      </c>
      <c r="E74" s="6" t="inlineStr">
        <is>
          <t>I4C_PUSH_RECEIVED</t>
        </is>
      </c>
      <c r="F74" s="6" t="inlineStr">
        <is>
          <t>I4C</t>
        </is>
      </c>
      <c r="G74" s="7" t="n">
        <v>45955.39930555555</v>
      </c>
      <c r="H74" s="7" t="n">
        <v>45955.39930555555</v>
      </c>
      <c r="I74" s="6" t="inlineStr">
        <is>
          <t>COMPLETED</t>
        </is>
      </c>
      <c r="J74" s="6" t="n">
        <v>1</v>
      </c>
      <c r="K74" s="11">
        <f>(H74-G74)*1440</f>
        <v/>
      </c>
      <c r="L74" s="10">
        <f>IF(K74&gt;J74,"YES","NO")</f>
        <v/>
      </c>
    </row>
    <row r="75">
      <c r="A75" s="6" t="inlineStr">
        <is>
          <t>I4C-CASE-2025-0013</t>
        </is>
      </c>
      <c r="B75" s="6" t="inlineStr">
        <is>
          <t>31608230000013</t>
        </is>
      </c>
      <c r="C75" s="6" t="inlineStr">
        <is>
          <t>17c42136-f082-48bc-b610-0672d0d42072</t>
        </is>
      </c>
      <c r="D75" s="6" t="n">
        <v>2</v>
      </c>
      <c r="E75" s="6" t="inlineStr">
        <is>
          <t>BANK_ACK_SENT</t>
        </is>
      </c>
      <c r="F75" s="6" t="inlineStr">
        <is>
          <t>Bank-System</t>
        </is>
      </c>
      <c r="G75" s="7" t="n">
        <v>45955.39930555555</v>
      </c>
      <c r="H75" s="7" t="n">
        <v>45955.39936342592</v>
      </c>
      <c r="I75" s="6" t="inlineStr">
        <is>
          <t>COMPLETED</t>
        </is>
      </c>
      <c r="J75" s="6" t="n">
        <v>1</v>
      </c>
      <c r="K75" s="11">
        <f>(H75-G75)*1440</f>
        <v/>
      </c>
      <c r="L75" s="10">
        <f>IF(K75&gt;J75,"YES","NO")</f>
        <v/>
      </c>
    </row>
    <row r="76">
      <c r="A76" s="6" t="inlineStr">
        <is>
          <t>I4C-CASE-2025-0013</t>
        </is>
      </c>
      <c r="B76" s="6" t="inlineStr">
        <is>
          <t>31608230000013</t>
        </is>
      </c>
      <c r="C76" s="6" t="inlineStr">
        <is>
          <t>17c42136-f082-48bc-b610-0672d0d42072</t>
        </is>
      </c>
      <c r="D76" s="6" t="n">
        <v>3</v>
      </c>
      <c r="E76" s="6" t="inlineStr">
        <is>
          <t>ENRICHMENT_ROUTING</t>
        </is>
      </c>
      <c r="F76" s="6" t="inlineStr">
        <is>
          <t>Bank-System</t>
        </is>
      </c>
      <c r="G76" s="7" t="n">
        <v>45955.39936342592</v>
      </c>
      <c r="H76" s="7" t="n">
        <v>45955.40625</v>
      </c>
      <c r="I76" s="6" t="inlineStr">
        <is>
          <t>COMPLETED</t>
        </is>
      </c>
      <c r="J76" s="6" t="n">
        <v>15</v>
      </c>
      <c r="K76" s="11">
        <f>(H76-G76)*1440</f>
        <v/>
      </c>
      <c r="L76" s="10">
        <f>IF(K76&gt;J76,"YES","NO")</f>
        <v/>
      </c>
    </row>
    <row r="77">
      <c r="A77" s="6" t="inlineStr">
        <is>
          <t>I4C-CASE-2025-0013</t>
        </is>
      </c>
      <c r="B77" s="6" t="inlineStr">
        <is>
          <t>31608230000013</t>
        </is>
      </c>
      <c r="C77" s="6" t="inlineStr">
        <is>
          <t>17c42136-f082-48bc-b610-0672d0d42072</t>
        </is>
      </c>
      <c r="D77" s="6" t="n">
        <v>4</v>
      </c>
      <c r="E77" s="6" t="inlineStr">
        <is>
          <t>HOLD_ACTION_ATTEMPTED</t>
        </is>
      </c>
      <c r="F77" s="6" t="inlineStr">
        <is>
          <t>Bank-Ops</t>
        </is>
      </c>
      <c r="G77" s="7" t="n">
        <v>45955.40625</v>
      </c>
      <c r="H77" s="7" t="n">
        <v>45955.41527777778</v>
      </c>
      <c r="I77" s="6" t="inlineStr">
        <is>
          <t>COMPLETED</t>
        </is>
      </c>
      <c r="J77" s="6" t="n">
        <v>30</v>
      </c>
      <c r="K77" s="11">
        <f>(H77-G77)*1440</f>
        <v/>
      </c>
      <c r="L77" s="10">
        <f>IF(K77&gt;J77,"YES","NO")</f>
        <v/>
      </c>
    </row>
    <row r="78">
      <c r="A78" s="6" t="inlineStr">
        <is>
          <t>I4C-CASE-2025-0013</t>
        </is>
      </c>
      <c r="B78" s="6" t="inlineStr">
        <is>
          <t>31608230000013</t>
        </is>
      </c>
      <c r="C78" s="6" t="inlineStr">
        <is>
          <t>17c42136-f082-48bc-b610-0672d0d42072</t>
        </is>
      </c>
      <c r="D78" s="6" t="n">
        <v>5</v>
      </c>
      <c r="E78" s="6" t="inlineStr">
        <is>
          <t>STATUS_UPDATE_SENT</t>
        </is>
      </c>
      <c r="F78" s="6" t="inlineStr">
        <is>
          <t>Bank-System</t>
        </is>
      </c>
      <c r="G78" s="7" t="n">
        <v>45955.41527777778</v>
      </c>
      <c r="H78" s="7" t="n">
        <v>45955.42152777778</v>
      </c>
      <c r="I78" s="6" t="inlineStr">
        <is>
          <t>COMPLETED</t>
        </is>
      </c>
      <c r="J78" s="6" t="n">
        <v>60</v>
      </c>
      <c r="K78" s="11">
        <f>(H78-G78)*1440</f>
        <v/>
      </c>
      <c r="L78" s="10">
        <f>IF(K78&gt;J78,"YES","NO")</f>
        <v/>
      </c>
    </row>
    <row r="79">
      <c r="A79" s="6" t="inlineStr">
        <is>
          <t>I4C-CASE-2025-0013</t>
        </is>
      </c>
      <c r="B79" s="6" t="inlineStr">
        <is>
          <t>31608230000013</t>
        </is>
      </c>
      <c r="C79" s="6" t="inlineStr">
        <is>
          <t>17c42136-f082-48bc-b610-0672d0d42072</t>
        </is>
      </c>
      <c r="D79" s="6" t="n">
        <v>6</v>
      </c>
      <c r="E79" s="6" t="inlineStr">
        <is>
          <t>I4C_STATUS_UPDATE_RESPONSE</t>
        </is>
      </c>
      <c r="F79" s="6" t="inlineStr">
        <is>
          <t>I4C</t>
        </is>
      </c>
      <c r="G79" s="7" t="n">
        <v>45955.42152777778</v>
      </c>
      <c r="H79" s="7" t="n">
        <v>45955.4215625</v>
      </c>
      <c r="I79" s="6" t="inlineStr">
        <is>
          <t>COMPLETED</t>
        </is>
      </c>
      <c r="J79" s="6" t="n">
        <v>10</v>
      </c>
      <c r="K79" s="11">
        <f>(H79-G79)*1440</f>
        <v/>
      </c>
      <c r="L79" s="10">
        <f>IF(K79&gt;J79,"YES","NO")</f>
        <v/>
      </c>
    </row>
    <row r="80">
      <c r="A80" s="6" t="inlineStr">
        <is>
          <t>I4C-CASE-2025-0014</t>
        </is>
      </c>
      <c r="B80" s="6" t="inlineStr">
        <is>
          <t>31608230000014</t>
        </is>
      </c>
      <c r="C80" s="6" t="inlineStr">
        <is>
          <t>85909e1c-12aa-470f-981c-2741dccddf7f</t>
        </is>
      </c>
      <c r="D80" s="6" t="n">
        <v>1</v>
      </c>
      <c r="E80" s="6" t="inlineStr">
        <is>
          <t>I4C_PUSH_RECEIVED</t>
        </is>
      </c>
      <c r="F80" s="6" t="inlineStr">
        <is>
          <t>I4C</t>
        </is>
      </c>
      <c r="G80" s="7" t="n">
        <v>45947.40625</v>
      </c>
      <c r="H80" s="7" t="n">
        <v>45947.40625</v>
      </c>
      <c r="I80" s="6" t="inlineStr">
        <is>
          <t>COMPLETED</t>
        </is>
      </c>
      <c r="J80" s="6" t="n">
        <v>1</v>
      </c>
      <c r="K80" s="11">
        <f>(H80-G80)*1440</f>
        <v/>
      </c>
      <c r="L80" s="10">
        <f>IF(K80&gt;J80,"YES","NO")</f>
        <v/>
      </c>
    </row>
    <row r="81">
      <c r="A81" s="6" t="inlineStr">
        <is>
          <t>I4C-CASE-2025-0014</t>
        </is>
      </c>
      <c r="B81" s="6" t="inlineStr">
        <is>
          <t>31608230000014</t>
        </is>
      </c>
      <c r="C81" s="6" t="inlineStr">
        <is>
          <t>85909e1c-12aa-470f-981c-2741dccddf7f</t>
        </is>
      </c>
      <c r="D81" s="6" t="n">
        <v>2</v>
      </c>
      <c r="E81" s="6" t="inlineStr">
        <is>
          <t>BANK_ACK_SENT</t>
        </is>
      </c>
      <c r="F81" s="6" t="inlineStr">
        <is>
          <t>Bank-System</t>
        </is>
      </c>
      <c r="G81" s="7" t="n">
        <v>45947.40625</v>
      </c>
      <c r="H81" s="7" t="n">
        <v>45947.40630787037</v>
      </c>
      <c r="I81" s="6" t="inlineStr">
        <is>
          <t>COMPLETED</t>
        </is>
      </c>
      <c r="J81" s="6" t="n">
        <v>1</v>
      </c>
      <c r="K81" s="11">
        <f>(H81-G81)*1440</f>
        <v/>
      </c>
      <c r="L81" s="10">
        <f>IF(K81&gt;J81,"YES","NO")</f>
        <v/>
      </c>
    </row>
    <row r="82">
      <c r="A82" s="6" t="inlineStr">
        <is>
          <t>I4C-CASE-2025-0014</t>
        </is>
      </c>
      <c r="B82" s="6" t="inlineStr">
        <is>
          <t>31608230000014</t>
        </is>
      </c>
      <c r="C82" s="6" t="inlineStr">
        <is>
          <t>85909e1c-12aa-470f-981c-2741dccddf7f</t>
        </is>
      </c>
      <c r="D82" s="6" t="n">
        <v>3</v>
      </c>
      <c r="E82" s="6" t="inlineStr">
        <is>
          <t>ENRICHMENT_ROUTING</t>
        </is>
      </c>
      <c r="F82" s="6" t="inlineStr">
        <is>
          <t>Bank-System</t>
        </is>
      </c>
      <c r="G82" s="7" t="n">
        <v>45947.40630787037</v>
      </c>
      <c r="H82" s="7" t="n">
        <v>45947.40972222222</v>
      </c>
      <c r="I82" s="6" t="inlineStr">
        <is>
          <t>COMPLETED</t>
        </is>
      </c>
      <c r="J82" s="6" t="n">
        <v>15</v>
      </c>
      <c r="K82" s="11">
        <f>(H82-G82)*1440</f>
        <v/>
      </c>
      <c r="L82" s="10">
        <f>IF(K82&gt;J82,"YES","NO")</f>
        <v/>
      </c>
    </row>
    <row r="83">
      <c r="A83" s="6" t="inlineStr">
        <is>
          <t>I4C-CASE-2025-0014</t>
        </is>
      </c>
      <c r="B83" s="6" t="inlineStr">
        <is>
          <t>31608230000014</t>
        </is>
      </c>
      <c r="C83" s="6" t="inlineStr">
        <is>
          <t>85909e1c-12aa-470f-981c-2741dccddf7f</t>
        </is>
      </c>
      <c r="D83" s="6" t="n">
        <v>4</v>
      </c>
      <c r="E83" s="6" t="inlineStr">
        <is>
          <t>HOLD_ACTION_ATTEMPTED</t>
        </is>
      </c>
      <c r="F83" s="6" t="inlineStr">
        <is>
          <t>Bank-Ops</t>
        </is>
      </c>
      <c r="G83" s="7" t="n">
        <v>45947.40972222222</v>
      </c>
      <c r="H83" s="7" t="n">
        <v>45947.4125</v>
      </c>
      <c r="I83" s="6" t="inlineStr">
        <is>
          <t>COMPLETED</t>
        </is>
      </c>
      <c r="J83" s="6" t="n">
        <v>30</v>
      </c>
      <c r="K83" s="11">
        <f>(H83-G83)*1440</f>
        <v/>
      </c>
      <c r="L83" s="10">
        <f>IF(K83&gt;J83,"YES","NO")</f>
        <v/>
      </c>
    </row>
    <row r="84">
      <c r="A84" s="6" t="inlineStr">
        <is>
          <t>I4C-CASE-2025-0014</t>
        </is>
      </c>
      <c r="B84" s="6" t="inlineStr">
        <is>
          <t>31608230000014</t>
        </is>
      </c>
      <c r="C84" s="6" t="inlineStr">
        <is>
          <t>85909e1c-12aa-470f-981c-2741dccddf7f</t>
        </is>
      </c>
      <c r="D84" s="6" t="n">
        <v>5</v>
      </c>
      <c r="E84" s="6" t="inlineStr">
        <is>
          <t>STATUS_UPDATE_SENT</t>
        </is>
      </c>
      <c r="F84" s="6" t="inlineStr">
        <is>
          <t>Bank-System</t>
        </is>
      </c>
      <c r="G84" s="7" t="n">
        <v>45947.4125</v>
      </c>
      <c r="H84" s="7" t="n">
        <v>45947.41388888889</v>
      </c>
      <c r="I84" s="6" t="inlineStr">
        <is>
          <t>COMPLETED</t>
        </is>
      </c>
      <c r="J84" s="6" t="n">
        <v>60</v>
      </c>
      <c r="K84" s="11">
        <f>(H84-G84)*1440</f>
        <v/>
      </c>
      <c r="L84" s="10">
        <f>IF(K84&gt;J84,"YES","NO")</f>
        <v/>
      </c>
    </row>
    <row r="85">
      <c r="A85" s="6" t="inlineStr">
        <is>
          <t>I4C-CASE-2025-0014</t>
        </is>
      </c>
      <c r="B85" s="6" t="inlineStr">
        <is>
          <t>31608230000014</t>
        </is>
      </c>
      <c r="C85" s="6" t="inlineStr">
        <is>
          <t>85909e1c-12aa-470f-981c-2741dccddf7f</t>
        </is>
      </c>
      <c r="D85" s="6" t="n">
        <v>6</v>
      </c>
      <c r="E85" s="6" t="inlineStr">
        <is>
          <t>I4C_STATUS_UPDATE_RESPONSE</t>
        </is>
      </c>
      <c r="F85" s="6" t="inlineStr">
        <is>
          <t>I4C</t>
        </is>
      </c>
      <c r="G85" s="7" t="n">
        <v>45947.41388888889</v>
      </c>
      <c r="H85" s="7" t="n">
        <v>45947.41392361111</v>
      </c>
      <c r="I85" s="6" t="inlineStr">
        <is>
          <t>COMPLETED</t>
        </is>
      </c>
      <c r="J85" s="6" t="n">
        <v>10</v>
      </c>
      <c r="K85" s="11">
        <f>(H85-G85)*1440</f>
        <v/>
      </c>
      <c r="L85" s="10">
        <f>IF(K85&gt;J85,"YES","NO")</f>
        <v/>
      </c>
    </row>
    <row r="86">
      <c r="A86" s="6" t="inlineStr">
        <is>
          <t>I4C-CASE-2025-0015</t>
        </is>
      </c>
      <c r="B86" s="6" t="inlineStr">
        <is>
          <t>31608230000015</t>
        </is>
      </c>
      <c r="C86" s="6" t="inlineStr">
        <is>
          <t>e1bf6439-b35d-4699-8f1a-9e23440e90aa</t>
        </is>
      </c>
      <c r="D86" s="6" t="n">
        <v>1</v>
      </c>
      <c r="E86" s="6" t="inlineStr">
        <is>
          <t>I4C_PUSH_RECEIVED</t>
        </is>
      </c>
      <c r="F86" s="6" t="inlineStr">
        <is>
          <t>I4C</t>
        </is>
      </c>
      <c r="G86" s="7" t="n">
        <v>45936.81944444445</v>
      </c>
      <c r="H86" s="7" t="n">
        <v>45936.81944444445</v>
      </c>
      <c r="I86" s="6" t="inlineStr">
        <is>
          <t>COMPLETED</t>
        </is>
      </c>
      <c r="J86" s="6" t="n">
        <v>1</v>
      </c>
      <c r="K86" s="11">
        <f>(H86-G86)*1440</f>
        <v/>
      </c>
      <c r="L86" s="10">
        <f>IF(K86&gt;J86,"YES","NO")</f>
        <v/>
      </c>
    </row>
    <row r="87">
      <c r="A87" s="6" t="inlineStr">
        <is>
          <t>I4C-CASE-2025-0015</t>
        </is>
      </c>
      <c r="B87" s="6" t="inlineStr">
        <is>
          <t>31608230000015</t>
        </is>
      </c>
      <c r="C87" s="6" t="inlineStr">
        <is>
          <t>e1bf6439-b35d-4699-8f1a-9e23440e90aa</t>
        </is>
      </c>
      <c r="D87" s="6" t="n">
        <v>2</v>
      </c>
      <c r="E87" s="6" t="inlineStr">
        <is>
          <t>BANK_ACK_SENT</t>
        </is>
      </c>
      <c r="F87" s="6" t="inlineStr">
        <is>
          <t>Bank-System</t>
        </is>
      </c>
      <c r="G87" s="7" t="n">
        <v>45936.81944444445</v>
      </c>
      <c r="H87" s="7" t="n">
        <v>45936.81950231481</v>
      </c>
      <c r="I87" s="6" t="inlineStr">
        <is>
          <t>COMPLETED</t>
        </is>
      </c>
      <c r="J87" s="6" t="n">
        <v>1</v>
      </c>
      <c r="K87" s="11">
        <f>(H87-G87)*1440</f>
        <v/>
      </c>
      <c r="L87" s="10">
        <f>IF(K87&gt;J87,"YES","NO")</f>
        <v/>
      </c>
    </row>
    <row r="88">
      <c r="A88" s="6" t="inlineStr">
        <is>
          <t>I4C-CASE-2025-0015</t>
        </is>
      </c>
      <c r="B88" s="6" t="inlineStr">
        <is>
          <t>31608230000015</t>
        </is>
      </c>
      <c r="C88" s="6" t="inlineStr">
        <is>
          <t>e1bf6439-b35d-4699-8f1a-9e23440e90aa</t>
        </is>
      </c>
      <c r="D88" s="6" t="n">
        <v>3</v>
      </c>
      <c r="E88" s="6" t="inlineStr">
        <is>
          <t>ENRICHMENT_ROUTING</t>
        </is>
      </c>
      <c r="F88" s="6" t="inlineStr">
        <is>
          <t>Bank-System</t>
        </is>
      </c>
      <c r="G88" s="7" t="n">
        <v>45936.81950231481</v>
      </c>
      <c r="H88" s="7" t="n">
        <v>45936.82569444444</v>
      </c>
      <c r="I88" s="6" t="inlineStr">
        <is>
          <t>COMPLETED</t>
        </is>
      </c>
      <c r="J88" s="6" t="n">
        <v>15</v>
      </c>
      <c r="K88" s="11">
        <f>(H88-G88)*1440</f>
        <v/>
      </c>
      <c r="L88" s="10">
        <f>IF(K88&gt;J88,"YES","NO")</f>
        <v/>
      </c>
    </row>
    <row r="89">
      <c r="A89" s="6" t="inlineStr">
        <is>
          <t>I4C-CASE-2025-0015</t>
        </is>
      </c>
      <c r="B89" s="6" t="inlineStr">
        <is>
          <t>31608230000015</t>
        </is>
      </c>
      <c r="C89" s="6" t="inlineStr">
        <is>
          <t>e1bf6439-b35d-4699-8f1a-9e23440e90aa</t>
        </is>
      </c>
      <c r="D89" s="6" t="n">
        <v>4</v>
      </c>
      <c r="E89" s="6" t="inlineStr">
        <is>
          <t>HOLD_ACTION_ATTEMPTED</t>
        </is>
      </c>
      <c r="F89" s="6" t="inlineStr">
        <is>
          <t>Bank-Ops</t>
        </is>
      </c>
      <c r="G89" s="7" t="n">
        <v>45936.82569444444</v>
      </c>
      <c r="H89" s="7" t="n">
        <v>45936.82847222222</v>
      </c>
      <c r="I89" s="6" t="inlineStr">
        <is>
          <t>COMPLETED</t>
        </is>
      </c>
      <c r="J89" s="6" t="n">
        <v>30</v>
      </c>
      <c r="K89" s="11">
        <f>(H89-G89)*1440</f>
        <v/>
      </c>
      <c r="L89" s="10">
        <f>IF(K89&gt;J89,"YES","NO")</f>
        <v/>
      </c>
    </row>
    <row r="90">
      <c r="A90" s="6" t="inlineStr">
        <is>
          <t>I4C-CASE-2025-0015</t>
        </is>
      </c>
      <c r="B90" s="6" t="inlineStr">
        <is>
          <t>31608230000015</t>
        </is>
      </c>
      <c r="C90" s="6" t="inlineStr">
        <is>
          <t>e1bf6439-b35d-4699-8f1a-9e23440e90aa</t>
        </is>
      </c>
      <c r="D90" s="6" t="n">
        <v>5</v>
      </c>
      <c r="E90" s="6" t="inlineStr">
        <is>
          <t>STATUS_UPDATE_SENT</t>
        </is>
      </c>
      <c r="F90" s="6" t="inlineStr">
        <is>
          <t>Bank-System</t>
        </is>
      </c>
      <c r="G90" s="7" t="n">
        <v>45936.82847222222</v>
      </c>
      <c r="H90" s="7" t="n">
        <v>45936.83194444444</v>
      </c>
      <c r="I90" s="6" t="inlineStr">
        <is>
          <t>COMPLETED</t>
        </is>
      </c>
      <c r="J90" s="6" t="n">
        <v>60</v>
      </c>
      <c r="K90" s="11">
        <f>(H90-G90)*1440</f>
        <v/>
      </c>
      <c r="L90" s="10">
        <f>IF(K90&gt;J90,"YES","NO")</f>
        <v/>
      </c>
    </row>
    <row r="91">
      <c r="A91" s="6" t="inlineStr">
        <is>
          <t>I4C-CASE-2025-0015</t>
        </is>
      </c>
      <c r="B91" s="6" t="inlineStr">
        <is>
          <t>31608230000015</t>
        </is>
      </c>
      <c r="C91" s="6" t="inlineStr">
        <is>
          <t>e1bf6439-b35d-4699-8f1a-9e23440e90aa</t>
        </is>
      </c>
      <c r="D91" s="6" t="n">
        <v>6</v>
      </c>
      <c r="E91" s="6" t="inlineStr">
        <is>
          <t>I4C_STATUS_UPDATE_RESPONSE</t>
        </is>
      </c>
      <c r="F91" s="6" t="inlineStr">
        <is>
          <t>I4C</t>
        </is>
      </c>
      <c r="G91" s="7" t="n">
        <v>45936.83194444444</v>
      </c>
      <c r="H91" s="7" t="n">
        <v>45936.83197916667</v>
      </c>
      <c r="I91" s="6" t="inlineStr">
        <is>
          <t>COMPLETED</t>
        </is>
      </c>
      <c r="J91" s="6" t="n">
        <v>10</v>
      </c>
      <c r="K91" s="11">
        <f>(H91-G91)*1440</f>
        <v/>
      </c>
      <c r="L91" s="10">
        <f>IF(K91&gt;J91,"YES","NO")</f>
        <v/>
      </c>
    </row>
    <row r="92">
      <c r="A92" s="6" t="inlineStr">
        <is>
          <t>I4C-CASE-2025-0016</t>
        </is>
      </c>
      <c r="B92" s="6" t="inlineStr">
        <is>
          <t>31608230000016</t>
        </is>
      </c>
      <c r="C92" s="6" t="inlineStr">
        <is>
          <t>79a28af4-62f8-4124-bbf2-32c6e9d92329</t>
        </is>
      </c>
      <c r="D92" s="6" t="n">
        <v>1</v>
      </c>
      <c r="E92" s="6" t="inlineStr">
        <is>
          <t>I4C_PUSH_RECEIVED</t>
        </is>
      </c>
      <c r="F92" s="6" t="inlineStr">
        <is>
          <t>I4C</t>
        </is>
      </c>
      <c r="G92" s="7" t="n">
        <v>45952.68402777778</v>
      </c>
      <c r="H92" s="7" t="n">
        <v>45952.68402777778</v>
      </c>
      <c r="I92" s="6" t="inlineStr">
        <is>
          <t>COMPLETED</t>
        </is>
      </c>
      <c r="J92" s="6" t="n">
        <v>1</v>
      </c>
      <c r="K92" s="11">
        <f>(H92-G92)*1440</f>
        <v/>
      </c>
      <c r="L92" s="10">
        <f>IF(K92&gt;J92,"YES","NO")</f>
        <v/>
      </c>
    </row>
    <row r="93">
      <c r="A93" s="6" t="inlineStr">
        <is>
          <t>I4C-CASE-2025-0016</t>
        </is>
      </c>
      <c r="B93" s="6" t="inlineStr">
        <is>
          <t>31608230000016</t>
        </is>
      </c>
      <c r="C93" s="6" t="inlineStr">
        <is>
          <t>79a28af4-62f8-4124-bbf2-32c6e9d92329</t>
        </is>
      </c>
      <c r="D93" s="6" t="n">
        <v>2</v>
      </c>
      <c r="E93" s="6" t="inlineStr">
        <is>
          <t>BANK_ACK_SENT</t>
        </is>
      </c>
      <c r="F93" s="6" t="inlineStr">
        <is>
          <t>Bank-System</t>
        </is>
      </c>
      <c r="G93" s="7" t="n">
        <v>45952.68402777778</v>
      </c>
      <c r="H93" s="7" t="n">
        <v>45952.68408564815</v>
      </c>
      <c r="I93" s="6" t="inlineStr">
        <is>
          <t>COMPLETED</t>
        </is>
      </c>
      <c r="J93" s="6" t="n">
        <v>1</v>
      </c>
      <c r="K93" s="11">
        <f>(H93-G93)*1440</f>
        <v/>
      </c>
      <c r="L93" s="10">
        <f>IF(K93&gt;J93,"YES","NO")</f>
        <v/>
      </c>
    </row>
    <row r="94">
      <c r="A94" s="6" t="inlineStr">
        <is>
          <t>I4C-CASE-2025-0016</t>
        </is>
      </c>
      <c r="B94" s="6" t="inlineStr">
        <is>
          <t>31608230000016</t>
        </is>
      </c>
      <c r="C94" s="6" t="inlineStr">
        <is>
          <t>79a28af4-62f8-4124-bbf2-32c6e9d92329</t>
        </is>
      </c>
      <c r="D94" s="6" t="n">
        <v>3</v>
      </c>
      <c r="E94" s="6" t="inlineStr">
        <is>
          <t>ENRICHMENT_ROUTING</t>
        </is>
      </c>
      <c r="F94" s="6" t="inlineStr">
        <is>
          <t>Bank-System</t>
        </is>
      </c>
      <c r="G94" s="7" t="n">
        <v>45952.68408564815</v>
      </c>
      <c r="H94" s="7" t="n">
        <v>45952.6875</v>
      </c>
      <c r="I94" s="6" t="inlineStr">
        <is>
          <t>COMPLETED</t>
        </is>
      </c>
      <c r="J94" s="6" t="n">
        <v>15</v>
      </c>
      <c r="K94" s="11">
        <f>(H94-G94)*1440</f>
        <v/>
      </c>
      <c r="L94" s="10">
        <f>IF(K94&gt;J94,"YES","NO")</f>
        <v/>
      </c>
    </row>
    <row r="95">
      <c r="A95" s="6" t="inlineStr">
        <is>
          <t>I4C-CASE-2025-0016</t>
        </is>
      </c>
      <c r="B95" s="6" t="inlineStr">
        <is>
          <t>31608230000016</t>
        </is>
      </c>
      <c r="C95" s="6" t="inlineStr">
        <is>
          <t>79a28af4-62f8-4124-bbf2-32c6e9d92329</t>
        </is>
      </c>
      <c r="D95" s="6" t="n">
        <v>4</v>
      </c>
      <c r="E95" s="6" t="inlineStr">
        <is>
          <t>HOLD_ACTION_ATTEMPTED</t>
        </is>
      </c>
      <c r="F95" s="6" t="inlineStr">
        <is>
          <t>Bank-Ops</t>
        </is>
      </c>
      <c r="G95" s="7" t="n">
        <v>45952.6875</v>
      </c>
      <c r="H95" s="7" t="n">
        <v>45952.69583333333</v>
      </c>
      <c r="I95" s="6" t="inlineStr">
        <is>
          <t>COMPLETED</t>
        </is>
      </c>
      <c r="J95" s="6" t="n">
        <v>30</v>
      </c>
      <c r="K95" s="11">
        <f>(H95-G95)*1440</f>
        <v/>
      </c>
      <c r="L95" s="10">
        <f>IF(K95&gt;J95,"YES","NO")</f>
        <v/>
      </c>
    </row>
    <row r="96">
      <c r="A96" s="6" t="inlineStr">
        <is>
          <t>I4C-CASE-2025-0016</t>
        </is>
      </c>
      <c r="B96" s="6" t="inlineStr">
        <is>
          <t>31608230000016</t>
        </is>
      </c>
      <c r="C96" s="6" t="inlineStr">
        <is>
          <t>79a28af4-62f8-4124-bbf2-32c6e9d92329</t>
        </is>
      </c>
      <c r="D96" s="6" t="n">
        <v>5</v>
      </c>
      <c r="E96" s="6" t="inlineStr">
        <is>
          <t>STATUS_UPDATE_SENT</t>
        </is>
      </c>
      <c r="F96" s="6" t="inlineStr">
        <is>
          <t>Bank-System</t>
        </is>
      </c>
      <c r="G96" s="7" t="n">
        <v>45952.69583333333</v>
      </c>
      <c r="H96" s="7" t="n">
        <v>45952.69861111111</v>
      </c>
      <c r="I96" s="6" t="inlineStr">
        <is>
          <t>COMPLETED</t>
        </is>
      </c>
      <c r="J96" s="6" t="n">
        <v>60</v>
      </c>
      <c r="K96" s="11">
        <f>(H96-G96)*1440</f>
        <v/>
      </c>
      <c r="L96" s="10">
        <f>IF(K96&gt;J96,"YES","NO")</f>
        <v/>
      </c>
    </row>
    <row r="97">
      <c r="A97" s="6" t="inlineStr">
        <is>
          <t>I4C-CASE-2025-0016</t>
        </is>
      </c>
      <c r="B97" s="6" t="inlineStr">
        <is>
          <t>31608230000016</t>
        </is>
      </c>
      <c r="C97" s="6" t="inlineStr">
        <is>
          <t>79a28af4-62f8-4124-bbf2-32c6e9d92329</t>
        </is>
      </c>
      <c r="D97" s="6" t="n">
        <v>6</v>
      </c>
      <c r="E97" s="6" t="inlineStr">
        <is>
          <t>I4C_STATUS_UPDATE_RESPONSE</t>
        </is>
      </c>
      <c r="F97" s="6" t="inlineStr">
        <is>
          <t>I4C</t>
        </is>
      </c>
      <c r="G97" s="7" t="n">
        <v>45952.69861111111</v>
      </c>
      <c r="H97" s="7" t="n">
        <v>45952.69864583333</v>
      </c>
      <c r="I97" s="6" t="inlineStr">
        <is>
          <t>COMPLETED</t>
        </is>
      </c>
      <c r="J97" s="6" t="n">
        <v>10</v>
      </c>
      <c r="K97" s="11">
        <f>(H97-G97)*1440</f>
        <v/>
      </c>
      <c r="L97" s="10">
        <f>IF(K97&gt;J97,"YES","NO")</f>
        <v/>
      </c>
    </row>
    <row r="98">
      <c r="A98" s="6" t="inlineStr">
        <is>
          <t>I4C-CASE-2025-0017</t>
        </is>
      </c>
      <c r="B98" s="6" t="inlineStr">
        <is>
          <t>31608230000017</t>
        </is>
      </c>
      <c r="C98" s="6" t="inlineStr">
        <is>
          <t>8f9d0193-d0ef-4ff0-8143-60e737c9760e</t>
        </is>
      </c>
      <c r="D98" s="6" t="n">
        <v>1</v>
      </c>
      <c r="E98" s="6" t="inlineStr">
        <is>
          <t>I4C_PUSH_RECEIVED</t>
        </is>
      </c>
      <c r="F98" s="6" t="inlineStr">
        <is>
          <t>I4C</t>
        </is>
      </c>
      <c r="G98" s="7" t="n">
        <v>45949.36805555555</v>
      </c>
      <c r="H98" s="7" t="n">
        <v>45949.36805555555</v>
      </c>
      <c r="I98" s="6" t="inlineStr">
        <is>
          <t>COMPLETED</t>
        </is>
      </c>
      <c r="J98" s="6" t="n">
        <v>1</v>
      </c>
      <c r="K98" s="11">
        <f>(H98-G98)*1440</f>
        <v/>
      </c>
      <c r="L98" s="10">
        <f>IF(K98&gt;J98,"YES","NO")</f>
        <v/>
      </c>
    </row>
    <row r="99">
      <c r="A99" s="6" t="inlineStr">
        <is>
          <t>I4C-CASE-2025-0017</t>
        </is>
      </c>
      <c r="B99" s="6" t="inlineStr">
        <is>
          <t>31608230000017</t>
        </is>
      </c>
      <c r="C99" s="6" t="inlineStr">
        <is>
          <t>8f9d0193-d0ef-4ff0-8143-60e737c9760e</t>
        </is>
      </c>
      <c r="D99" s="6" t="n">
        <v>2</v>
      </c>
      <c r="E99" s="6" t="inlineStr">
        <is>
          <t>BANK_ACK_SENT</t>
        </is>
      </c>
      <c r="F99" s="6" t="inlineStr">
        <is>
          <t>Bank-System</t>
        </is>
      </c>
      <c r="G99" s="7" t="n">
        <v>45949.36805555555</v>
      </c>
      <c r="H99" s="7" t="n">
        <v>45949.36811342592</v>
      </c>
      <c r="I99" s="6" t="inlineStr">
        <is>
          <t>COMPLETED</t>
        </is>
      </c>
      <c r="J99" s="6" t="n">
        <v>1</v>
      </c>
      <c r="K99" s="11">
        <f>(H99-G99)*1440</f>
        <v/>
      </c>
      <c r="L99" s="10">
        <f>IF(K99&gt;J99,"YES","NO")</f>
        <v/>
      </c>
    </row>
    <row r="100">
      <c r="A100" s="6" t="inlineStr">
        <is>
          <t>I4C-CASE-2025-0017</t>
        </is>
      </c>
      <c r="B100" s="6" t="inlineStr">
        <is>
          <t>31608230000017</t>
        </is>
      </c>
      <c r="C100" s="6" t="inlineStr">
        <is>
          <t>8f9d0193-d0ef-4ff0-8143-60e737c9760e</t>
        </is>
      </c>
      <c r="D100" s="6" t="n">
        <v>3</v>
      </c>
      <c r="E100" s="6" t="inlineStr">
        <is>
          <t>ENRICHMENT_ROUTING</t>
        </is>
      </c>
      <c r="F100" s="6" t="inlineStr">
        <is>
          <t>Bank-System</t>
        </is>
      </c>
      <c r="G100" s="7" t="n">
        <v>45949.36811342592</v>
      </c>
      <c r="H100" s="7" t="n">
        <v>45949.37222222222</v>
      </c>
      <c r="I100" s="6" t="inlineStr">
        <is>
          <t>COMPLETED</t>
        </is>
      </c>
      <c r="J100" s="6" t="n">
        <v>15</v>
      </c>
      <c r="K100" s="11">
        <f>(H100-G100)*1440</f>
        <v/>
      </c>
      <c r="L100" s="10">
        <f>IF(K100&gt;J100,"YES","NO")</f>
        <v/>
      </c>
    </row>
    <row r="101">
      <c r="A101" s="6" t="inlineStr">
        <is>
          <t>I4C-CASE-2025-0017</t>
        </is>
      </c>
      <c r="B101" s="6" t="inlineStr">
        <is>
          <t>31608230000017</t>
        </is>
      </c>
      <c r="C101" s="6" t="inlineStr">
        <is>
          <t>8f9d0193-d0ef-4ff0-8143-60e737c9760e</t>
        </is>
      </c>
      <c r="D101" s="6" t="n">
        <v>4</v>
      </c>
      <c r="E101" s="6" t="inlineStr">
        <is>
          <t>HOLD_ACTION_ATTEMPTED</t>
        </is>
      </c>
      <c r="F101" s="6" t="inlineStr">
        <is>
          <t>Bank-Ops</t>
        </is>
      </c>
      <c r="G101" s="7" t="n">
        <v>45949.37222222222</v>
      </c>
      <c r="H101" s="7" t="n">
        <v>45949.38263888889</v>
      </c>
      <c r="I101" s="6" t="inlineStr">
        <is>
          <t>COMPLETED</t>
        </is>
      </c>
      <c r="J101" s="6" t="n">
        <v>30</v>
      </c>
      <c r="K101" s="11">
        <f>(H101-G101)*1440</f>
        <v/>
      </c>
      <c r="L101" s="10">
        <f>IF(K101&gt;J101,"YES","NO")</f>
        <v/>
      </c>
    </row>
    <row r="102">
      <c r="A102" s="6" t="inlineStr">
        <is>
          <t>I4C-CASE-2025-0017</t>
        </is>
      </c>
      <c r="B102" s="6" t="inlineStr">
        <is>
          <t>31608230000017</t>
        </is>
      </c>
      <c r="C102" s="6" t="inlineStr">
        <is>
          <t>8f9d0193-d0ef-4ff0-8143-60e737c9760e</t>
        </is>
      </c>
      <c r="D102" s="6" t="n">
        <v>5</v>
      </c>
      <c r="E102" s="6" t="inlineStr">
        <is>
          <t>STATUS_UPDATE_SENT</t>
        </is>
      </c>
      <c r="F102" s="6" t="inlineStr">
        <is>
          <t>Bank-System</t>
        </is>
      </c>
      <c r="G102" s="7" t="n">
        <v>45949.38263888889</v>
      </c>
      <c r="H102" s="7" t="n">
        <v>45949.38402777778</v>
      </c>
      <c r="I102" s="6" t="inlineStr">
        <is>
          <t>COMPLETED</t>
        </is>
      </c>
      <c r="J102" s="6" t="n">
        <v>60</v>
      </c>
      <c r="K102" s="11">
        <f>(H102-G102)*1440</f>
        <v/>
      </c>
      <c r="L102" s="10">
        <f>IF(K102&gt;J102,"YES","NO")</f>
        <v/>
      </c>
    </row>
    <row r="103">
      <c r="A103" s="6" t="inlineStr">
        <is>
          <t>I4C-CASE-2025-0017</t>
        </is>
      </c>
      <c r="B103" s="6" t="inlineStr">
        <is>
          <t>31608230000017</t>
        </is>
      </c>
      <c r="C103" s="6" t="inlineStr">
        <is>
          <t>8f9d0193-d0ef-4ff0-8143-60e737c9760e</t>
        </is>
      </c>
      <c r="D103" s="6" t="n">
        <v>6</v>
      </c>
      <c r="E103" s="6" t="inlineStr">
        <is>
          <t>I4C_STATUS_UPDATE_RESPONSE</t>
        </is>
      </c>
      <c r="F103" s="6" t="inlineStr">
        <is>
          <t>I4C</t>
        </is>
      </c>
      <c r="G103" s="7" t="n">
        <v>45949.38402777778</v>
      </c>
      <c r="H103" s="7" t="n">
        <v>45949.3840625</v>
      </c>
      <c r="I103" s="6" t="inlineStr">
        <is>
          <t>COMPLETED</t>
        </is>
      </c>
      <c r="J103" s="6" t="n">
        <v>10</v>
      </c>
      <c r="K103" s="11">
        <f>(H103-G103)*1440</f>
        <v/>
      </c>
      <c r="L103" s="10">
        <f>IF(K103&gt;J103,"YES","NO")</f>
        <v/>
      </c>
    </row>
    <row r="104">
      <c r="A104" s="6" t="inlineStr">
        <is>
          <t>I4C-CASE-2025-0018</t>
        </is>
      </c>
      <c r="B104" s="6" t="inlineStr">
        <is>
          <t>31608230000018</t>
        </is>
      </c>
      <c r="C104" s="6" t="inlineStr">
        <is>
          <t>a392623d-7711-4020-a2c9-793555384b0b</t>
        </is>
      </c>
      <c r="D104" s="6" t="n">
        <v>1</v>
      </c>
      <c r="E104" s="6" t="inlineStr">
        <is>
          <t>I4C_PUSH_RECEIVED</t>
        </is>
      </c>
      <c r="F104" s="6" t="inlineStr">
        <is>
          <t>I4C</t>
        </is>
      </c>
      <c r="G104" s="7" t="n">
        <v>45948.84722222222</v>
      </c>
      <c r="H104" s="7" t="n">
        <v>45948.84722222222</v>
      </c>
      <c r="I104" s="6" t="inlineStr">
        <is>
          <t>COMPLETED</t>
        </is>
      </c>
      <c r="J104" s="6" t="n">
        <v>1</v>
      </c>
      <c r="K104" s="11">
        <f>(H104-G104)*1440</f>
        <v/>
      </c>
      <c r="L104" s="10">
        <f>IF(K104&gt;J104,"YES","NO")</f>
        <v/>
      </c>
    </row>
    <row r="105">
      <c r="A105" s="6" t="inlineStr">
        <is>
          <t>I4C-CASE-2025-0018</t>
        </is>
      </c>
      <c r="B105" s="6" t="inlineStr">
        <is>
          <t>31608230000018</t>
        </is>
      </c>
      <c r="C105" s="6" t="inlineStr">
        <is>
          <t>a392623d-7711-4020-a2c9-793555384b0b</t>
        </is>
      </c>
      <c r="D105" s="6" t="n">
        <v>2</v>
      </c>
      <c r="E105" s="6" t="inlineStr">
        <is>
          <t>BANK_ACK_SENT</t>
        </is>
      </c>
      <c r="F105" s="6" t="inlineStr">
        <is>
          <t>Bank-System</t>
        </is>
      </c>
      <c r="G105" s="7" t="n">
        <v>45948.84722222222</v>
      </c>
      <c r="H105" s="7" t="n">
        <v>45948.8472800926</v>
      </c>
      <c r="I105" s="6" t="inlineStr">
        <is>
          <t>COMPLETED</t>
        </is>
      </c>
      <c r="J105" s="6" t="n">
        <v>1</v>
      </c>
      <c r="K105" s="11">
        <f>(H105-G105)*1440</f>
        <v/>
      </c>
      <c r="L105" s="10">
        <f>IF(K105&gt;J105,"YES","NO")</f>
        <v/>
      </c>
    </row>
    <row r="106">
      <c r="A106" s="6" t="inlineStr">
        <is>
          <t>I4C-CASE-2025-0018</t>
        </is>
      </c>
      <c r="B106" s="6" t="inlineStr">
        <is>
          <t>31608230000018</t>
        </is>
      </c>
      <c r="C106" s="6" t="inlineStr">
        <is>
          <t>a392623d-7711-4020-a2c9-793555384b0b</t>
        </is>
      </c>
      <c r="D106" s="6" t="n">
        <v>3</v>
      </c>
      <c r="E106" s="6" t="inlineStr">
        <is>
          <t>ENRICHMENT_ROUTING</t>
        </is>
      </c>
      <c r="F106" s="6" t="inlineStr">
        <is>
          <t>Bank-System</t>
        </is>
      </c>
      <c r="G106" s="7" t="n">
        <v>45948.8472800926</v>
      </c>
      <c r="H106" s="7" t="n">
        <v>45948.85277777778</v>
      </c>
      <c r="I106" s="6" t="inlineStr">
        <is>
          <t>COMPLETED</t>
        </is>
      </c>
      <c r="J106" s="6" t="n">
        <v>15</v>
      </c>
      <c r="K106" s="11">
        <f>(H106-G106)*1440</f>
        <v/>
      </c>
      <c r="L106" s="10">
        <f>IF(K106&gt;J106,"YES","NO")</f>
        <v/>
      </c>
    </row>
    <row r="107">
      <c r="A107" s="6" t="inlineStr">
        <is>
          <t>I4C-CASE-2025-0018</t>
        </is>
      </c>
      <c r="B107" s="6" t="inlineStr">
        <is>
          <t>31608230000018</t>
        </is>
      </c>
      <c r="C107" s="6" t="inlineStr">
        <is>
          <t>a392623d-7711-4020-a2c9-793555384b0b</t>
        </is>
      </c>
      <c r="D107" s="6" t="n">
        <v>4</v>
      </c>
      <c r="E107" s="6" t="inlineStr">
        <is>
          <t>HOLD_ACTION_ATTEMPTED</t>
        </is>
      </c>
      <c r="F107" s="6" t="inlineStr">
        <is>
          <t>Bank-Ops</t>
        </is>
      </c>
      <c r="G107" s="7" t="n">
        <v>45948.85277777778</v>
      </c>
      <c r="H107" s="7" t="n">
        <v>45948.86041666667</v>
      </c>
      <c r="I107" s="6" t="inlineStr">
        <is>
          <t>COMPLETED</t>
        </is>
      </c>
      <c r="J107" s="6" t="n">
        <v>30</v>
      </c>
      <c r="K107" s="11">
        <f>(H107-G107)*1440</f>
        <v/>
      </c>
      <c r="L107" s="10">
        <f>IF(K107&gt;J107,"YES","NO")</f>
        <v/>
      </c>
    </row>
    <row r="108">
      <c r="A108" s="6" t="inlineStr">
        <is>
          <t>I4C-CASE-2025-0018</t>
        </is>
      </c>
      <c r="B108" s="6" t="inlineStr">
        <is>
          <t>31608230000018</t>
        </is>
      </c>
      <c r="C108" s="6" t="inlineStr">
        <is>
          <t>a392623d-7711-4020-a2c9-793555384b0b</t>
        </is>
      </c>
      <c r="D108" s="6" t="n">
        <v>5</v>
      </c>
      <c r="E108" s="6" t="inlineStr">
        <is>
          <t>STATUS_UPDATE_SENT</t>
        </is>
      </c>
      <c r="F108" s="6" t="inlineStr">
        <is>
          <t>Bank-System</t>
        </is>
      </c>
      <c r="G108" s="7" t="n">
        <v>45948.86041666667</v>
      </c>
      <c r="H108" s="7" t="n">
        <v>45948.86388888889</v>
      </c>
      <c r="I108" s="6" t="inlineStr">
        <is>
          <t>COMPLETED</t>
        </is>
      </c>
      <c r="J108" s="6" t="n">
        <v>60</v>
      </c>
      <c r="K108" s="11">
        <f>(H108-G108)*1440</f>
        <v/>
      </c>
      <c r="L108" s="10">
        <f>IF(K108&gt;J108,"YES","NO")</f>
        <v/>
      </c>
    </row>
    <row r="109">
      <c r="A109" s="6" t="inlineStr">
        <is>
          <t>I4C-CASE-2025-0018</t>
        </is>
      </c>
      <c r="B109" s="6" t="inlineStr">
        <is>
          <t>31608230000018</t>
        </is>
      </c>
      <c r="C109" s="6" t="inlineStr">
        <is>
          <t>a392623d-7711-4020-a2c9-793555384b0b</t>
        </is>
      </c>
      <c r="D109" s="6" t="n">
        <v>6</v>
      </c>
      <c r="E109" s="6" t="inlineStr">
        <is>
          <t>I4C_STATUS_UPDATE_RESPONSE</t>
        </is>
      </c>
      <c r="F109" s="6" t="inlineStr">
        <is>
          <t>I4C</t>
        </is>
      </c>
      <c r="G109" s="7" t="n">
        <v>45948.86388888889</v>
      </c>
      <c r="H109" s="7" t="n">
        <v>45948.86392361111</v>
      </c>
      <c r="I109" s="6" t="inlineStr">
        <is>
          <t>COMPLETED</t>
        </is>
      </c>
      <c r="J109" s="6" t="n">
        <v>10</v>
      </c>
      <c r="K109" s="11">
        <f>(H109-G109)*1440</f>
        <v/>
      </c>
      <c r="L109" s="10">
        <f>IF(K109&gt;J109,"YES","NO")</f>
        <v/>
      </c>
    </row>
    <row r="110">
      <c r="A110" s="6" t="inlineStr">
        <is>
          <t>I4C-CASE-2025-0019</t>
        </is>
      </c>
      <c r="B110" s="6" t="inlineStr">
        <is>
          <t>31608230000019</t>
        </is>
      </c>
      <c r="C110" s="6" t="inlineStr">
        <is>
          <t>5c2cbf12-f130-47b1-a973-31250ad54c30</t>
        </is>
      </c>
      <c r="D110" s="6" t="n">
        <v>1</v>
      </c>
      <c r="E110" s="6" t="inlineStr">
        <is>
          <t>I4C_PUSH_RECEIVED</t>
        </is>
      </c>
      <c r="F110" s="6" t="inlineStr">
        <is>
          <t>I4C</t>
        </is>
      </c>
      <c r="G110" s="7" t="n">
        <v>45938.25</v>
      </c>
      <c r="H110" s="7" t="n">
        <v>45938.25</v>
      </c>
      <c r="I110" s="6" t="inlineStr">
        <is>
          <t>COMPLETED</t>
        </is>
      </c>
      <c r="J110" s="6" t="n">
        <v>1</v>
      </c>
      <c r="K110" s="11">
        <f>(H110-G110)*1440</f>
        <v/>
      </c>
      <c r="L110" s="10">
        <f>IF(K110&gt;J110,"YES","NO")</f>
        <v/>
      </c>
    </row>
    <row r="111">
      <c r="A111" s="6" t="inlineStr">
        <is>
          <t>I4C-CASE-2025-0019</t>
        </is>
      </c>
      <c r="B111" s="6" t="inlineStr">
        <is>
          <t>31608230000019</t>
        </is>
      </c>
      <c r="C111" s="6" t="inlineStr">
        <is>
          <t>5c2cbf12-f130-47b1-a973-31250ad54c30</t>
        </is>
      </c>
      <c r="D111" s="6" t="n">
        <v>2</v>
      </c>
      <c r="E111" s="6" t="inlineStr">
        <is>
          <t>BANK_ACK_SENT</t>
        </is>
      </c>
      <c r="F111" s="6" t="inlineStr">
        <is>
          <t>Bank-System</t>
        </is>
      </c>
      <c r="G111" s="7" t="n">
        <v>45938.25</v>
      </c>
      <c r="H111" s="7" t="n">
        <v>45938.25005787037</v>
      </c>
      <c r="I111" s="6" t="inlineStr">
        <is>
          <t>COMPLETED</t>
        </is>
      </c>
      <c r="J111" s="6" t="n">
        <v>1</v>
      </c>
      <c r="K111" s="11">
        <f>(H111-G111)*1440</f>
        <v/>
      </c>
      <c r="L111" s="10">
        <f>IF(K111&gt;J111,"YES","NO")</f>
        <v/>
      </c>
    </row>
    <row r="112">
      <c r="A112" s="6" t="inlineStr">
        <is>
          <t>I4C-CASE-2025-0019</t>
        </is>
      </c>
      <c r="B112" s="6" t="inlineStr">
        <is>
          <t>31608230000019</t>
        </is>
      </c>
      <c r="C112" s="6" t="inlineStr">
        <is>
          <t>5c2cbf12-f130-47b1-a973-31250ad54c30</t>
        </is>
      </c>
      <c r="D112" s="6" t="n">
        <v>3</v>
      </c>
      <c r="E112" s="6" t="inlineStr">
        <is>
          <t>ENRICHMENT_ROUTING</t>
        </is>
      </c>
      <c r="F112" s="6" t="inlineStr">
        <is>
          <t>Bank-System</t>
        </is>
      </c>
      <c r="G112" s="7" t="n">
        <v>45938.25005787037</v>
      </c>
      <c r="H112" s="7" t="n">
        <v>45938.25208333333</v>
      </c>
      <c r="I112" s="6" t="inlineStr">
        <is>
          <t>COMPLETED</t>
        </is>
      </c>
      <c r="J112" s="6" t="n">
        <v>15</v>
      </c>
      <c r="K112" s="11">
        <f>(H112-G112)*1440</f>
        <v/>
      </c>
      <c r="L112" s="10">
        <f>IF(K112&gt;J112,"YES","NO")</f>
        <v/>
      </c>
    </row>
    <row r="113">
      <c r="A113" s="6" t="inlineStr">
        <is>
          <t>I4C-CASE-2025-0019</t>
        </is>
      </c>
      <c r="B113" s="6" t="inlineStr">
        <is>
          <t>31608230000019</t>
        </is>
      </c>
      <c r="C113" s="6" t="inlineStr">
        <is>
          <t>5c2cbf12-f130-47b1-a973-31250ad54c30</t>
        </is>
      </c>
      <c r="D113" s="6" t="n">
        <v>4</v>
      </c>
      <c r="E113" s="6" t="inlineStr">
        <is>
          <t>HOLD_ACTION_ATTEMPTED</t>
        </is>
      </c>
      <c r="F113" s="6" t="inlineStr">
        <is>
          <t>Bank-Ops</t>
        </is>
      </c>
      <c r="G113" s="7" t="n">
        <v>45938.25208333333</v>
      </c>
      <c r="H113" s="7" t="n">
        <v>45938.25763888889</v>
      </c>
      <c r="I113" s="6" t="inlineStr">
        <is>
          <t>COMPLETED</t>
        </is>
      </c>
      <c r="J113" s="6" t="n">
        <v>30</v>
      </c>
      <c r="K113" s="11">
        <f>(H113-G113)*1440</f>
        <v/>
      </c>
      <c r="L113" s="10">
        <f>IF(K113&gt;J113,"YES","NO")</f>
        <v/>
      </c>
    </row>
    <row r="114">
      <c r="A114" s="6" t="inlineStr">
        <is>
          <t>I4C-CASE-2025-0019</t>
        </is>
      </c>
      <c r="B114" s="6" t="inlineStr">
        <is>
          <t>31608230000019</t>
        </is>
      </c>
      <c r="C114" s="6" t="inlineStr">
        <is>
          <t>5c2cbf12-f130-47b1-a973-31250ad54c30</t>
        </is>
      </c>
      <c r="D114" s="6" t="n">
        <v>5</v>
      </c>
      <c r="E114" s="6" t="inlineStr">
        <is>
          <t>STATUS_UPDATE_SENT</t>
        </is>
      </c>
      <c r="F114" s="6" t="inlineStr">
        <is>
          <t>Bank-System</t>
        </is>
      </c>
      <c r="G114" s="7" t="n">
        <v>45938.25763888889</v>
      </c>
      <c r="H114" s="7" t="n">
        <v>45938.26180555556</v>
      </c>
      <c r="I114" s="6" t="inlineStr">
        <is>
          <t>COMPLETED</t>
        </is>
      </c>
      <c r="J114" s="6" t="n">
        <v>60</v>
      </c>
      <c r="K114" s="11">
        <f>(H114-G114)*1440</f>
        <v/>
      </c>
      <c r="L114" s="10">
        <f>IF(K114&gt;J114,"YES","NO")</f>
        <v/>
      </c>
    </row>
    <row r="115">
      <c r="A115" s="6" t="inlineStr">
        <is>
          <t>I4C-CASE-2025-0019</t>
        </is>
      </c>
      <c r="B115" s="6" t="inlineStr">
        <is>
          <t>31608230000019</t>
        </is>
      </c>
      <c r="C115" s="6" t="inlineStr">
        <is>
          <t>5c2cbf12-f130-47b1-a973-31250ad54c30</t>
        </is>
      </c>
      <c r="D115" s="6" t="n">
        <v>6</v>
      </c>
      <c r="E115" s="6" t="inlineStr">
        <is>
          <t>I4C_STATUS_UPDATE_RESPONSE</t>
        </is>
      </c>
      <c r="F115" s="6" t="inlineStr">
        <is>
          <t>I4C</t>
        </is>
      </c>
      <c r="G115" s="7" t="n">
        <v>45938.26180555556</v>
      </c>
      <c r="H115" s="7" t="n">
        <v>45938.26184027778</v>
      </c>
      <c r="I115" s="6" t="inlineStr">
        <is>
          <t>COMPLETED</t>
        </is>
      </c>
      <c r="J115" s="6" t="n">
        <v>10</v>
      </c>
      <c r="K115" s="11">
        <f>(H115-G115)*1440</f>
        <v/>
      </c>
      <c r="L115" s="10">
        <f>IF(K115&gt;J115,"YES","NO")</f>
        <v/>
      </c>
    </row>
    <row r="116">
      <c r="A116" s="6" t="inlineStr">
        <is>
          <t>I4C-CASE-2025-0020</t>
        </is>
      </c>
      <c r="B116" s="6" t="inlineStr">
        <is>
          <t>31608230000020</t>
        </is>
      </c>
      <c r="C116" s="6" t="inlineStr">
        <is>
          <t>847dbb0e-b66b-41c0-b403-75ca9ecdc286</t>
        </is>
      </c>
      <c r="D116" s="6" t="n">
        <v>1</v>
      </c>
      <c r="E116" s="6" t="inlineStr">
        <is>
          <t>I4C_PUSH_RECEIVED</t>
        </is>
      </c>
      <c r="F116" s="6" t="inlineStr">
        <is>
          <t>I4C</t>
        </is>
      </c>
      <c r="G116" s="7" t="n">
        <v>45936.91666666666</v>
      </c>
      <c r="H116" s="7" t="n">
        <v>45936.91666666666</v>
      </c>
      <c r="I116" s="6" t="inlineStr">
        <is>
          <t>COMPLETED</t>
        </is>
      </c>
      <c r="J116" s="6" t="n">
        <v>1</v>
      </c>
      <c r="K116" s="11">
        <f>(H116-G116)*1440</f>
        <v/>
      </c>
      <c r="L116" s="10">
        <f>IF(K116&gt;J116,"YES","NO")</f>
        <v/>
      </c>
    </row>
    <row r="117">
      <c r="A117" s="6" t="inlineStr">
        <is>
          <t>I4C-CASE-2025-0020</t>
        </is>
      </c>
      <c r="B117" s="6" t="inlineStr">
        <is>
          <t>31608230000020</t>
        </is>
      </c>
      <c r="C117" s="6" t="inlineStr">
        <is>
          <t>847dbb0e-b66b-41c0-b403-75ca9ecdc286</t>
        </is>
      </c>
      <c r="D117" s="6" t="n">
        <v>2</v>
      </c>
      <c r="E117" s="6" t="inlineStr">
        <is>
          <t>BANK_ACK_SENT</t>
        </is>
      </c>
      <c r="F117" s="6" t="inlineStr">
        <is>
          <t>Bank-System</t>
        </is>
      </c>
      <c r="G117" s="7" t="n">
        <v>45936.91666666666</v>
      </c>
      <c r="H117" s="7" t="n">
        <v>45936.91672453703</v>
      </c>
      <c r="I117" s="6" t="inlineStr">
        <is>
          <t>COMPLETED</t>
        </is>
      </c>
      <c r="J117" s="6" t="n">
        <v>1</v>
      </c>
      <c r="K117" s="11">
        <f>(H117-G117)*1440</f>
        <v/>
      </c>
      <c r="L117" s="10">
        <f>IF(K117&gt;J117,"YES","NO")</f>
        <v/>
      </c>
    </row>
    <row r="118">
      <c r="A118" s="6" t="inlineStr">
        <is>
          <t>I4C-CASE-2025-0020</t>
        </is>
      </c>
      <c r="B118" s="6" t="inlineStr">
        <is>
          <t>31608230000020</t>
        </is>
      </c>
      <c r="C118" s="6" t="inlineStr">
        <is>
          <t>847dbb0e-b66b-41c0-b403-75ca9ecdc286</t>
        </is>
      </c>
      <c r="D118" s="6" t="n">
        <v>3</v>
      </c>
      <c r="E118" s="6" t="inlineStr">
        <is>
          <t>ENRICHMENT_ROUTING</t>
        </is>
      </c>
      <c r="F118" s="6" t="inlineStr">
        <is>
          <t>Bank-System</t>
        </is>
      </c>
      <c r="G118" s="7" t="n">
        <v>45936.91672453703</v>
      </c>
      <c r="H118" s="7" t="n">
        <v>45936.92222222222</v>
      </c>
      <c r="I118" s="6" t="inlineStr">
        <is>
          <t>COMPLETED</t>
        </is>
      </c>
      <c r="J118" s="6" t="n">
        <v>15</v>
      </c>
      <c r="K118" s="11">
        <f>(H118-G118)*1440</f>
        <v/>
      </c>
      <c r="L118" s="10">
        <f>IF(K118&gt;J118,"YES","NO")</f>
        <v/>
      </c>
    </row>
    <row r="119">
      <c r="A119" s="6" t="inlineStr">
        <is>
          <t>I4C-CASE-2025-0020</t>
        </is>
      </c>
      <c r="B119" s="6" t="inlineStr">
        <is>
          <t>31608230000020</t>
        </is>
      </c>
      <c r="C119" s="6" t="inlineStr">
        <is>
          <t>847dbb0e-b66b-41c0-b403-75ca9ecdc286</t>
        </is>
      </c>
      <c r="D119" s="6" t="n">
        <v>4</v>
      </c>
      <c r="E119" s="6" t="inlineStr">
        <is>
          <t>HOLD_ACTION_ATTEMPTED</t>
        </is>
      </c>
      <c r="F119" s="6" t="inlineStr">
        <is>
          <t>Bank-Ops</t>
        </is>
      </c>
      <c r="G119" s="7" t="n">
        <v>45936.92222222222</v>
      </c>
      <c r="H119" s="7" t="n">
        <v>45936.92847222222</v>
      </c>
      <c r="I119" s="6" t="inlineStr">
        <is>
          <t>COMPLETED</t>
        </is>
      </c>
      <c r="J119" s="6" t="n">
        <v>30</v>
      </c>
      <c r="K119" s="11">
        <f>(H119-G119)*1440</f>
        <v/>
      </c>
      <c r="L119" s="10">
        <f>IF(K119&gt;J119,"YES","NO")</f>
        <v/>
      </c>
    </row>
    <row r="120">
      <c r="A120" s="6" t="inlineStr">
        <is>
          <t>I4C-CASE-2025-0020</t>
        </is>
      </c>
      <c r="B120" s="6" t="inlineStr">
        <is>
          <t>31608230000020</t>
        </is>
      </c>
      <c r="C120" s="6" t="inlineStr">
        <is>
          <t>847dbb0e-b66b-41c0-b403-75ca9ecdc286</t>
        </is>
      </c>
      <c r="D120" s="6" t="n">
        <v>5</v>
      </c>
      <c r="E120" s="6" t="inlineStr">
        <is>
          <t>STATUS_UPDATE_SENT</t>
        </is>
      </c>
      <c r="F120" s="6" t="inlineStr">
        <is>
          <t>Bank-System</t>
        </is>
      </c>
      <c r="G120" s="7" t="n">
        <v>45936.92847222222</v>
      </c>
      <c r="H120" s="7" t="n">
        <v>45936.93194444444</v>
      </c>
      <c r="I120" s="6" t="inlineStr">
        <is>
          <t>COMPLETED</t>
        </is>
      </c>
      <c r="J120" s="6" t="n">
        <v>60</v>
      </c>
      <c r="K120" s="11">
        <f>(H120-G120)*1440</f>
        <v/>
      </c>
      <c r="L120" s="10">
        <f>IF(K120&gt;J120,"YES","NO")</f>
        <v/>
      </c>
    </row>
    <row r="121">
      <c r="A121" s="6" t="inlineStr">
        <is>
          <t>I4C-CASE-2025-0020</t>
        </is>
      </c>
      <c r="B121" s="6" t="inlineStr">
        <is>
          <t>31608230000020</t>
        </is>
      </c>
      <c r="C121" s="6" t="inlineStr">
        <is>
          <t>847dbb0e-b66b-41c0-b403-75ca9ecdc286</t>
        </is>
      </c>
      <c r="D121" s="6" t="n">
        <v>6</v>
      </c>
      <c r="E121" s="6" t="inlineStr">
        <is>
          <t>I4C_STATUS_UPDATE_RESPONSE</t>
        </is>
      </c>
      <c r="F121" s="6" t="inlineStr">
        <is>
          <t>I4C</t>
        </is>
      </c>
      <c r="G121" s="7" t="n">
        <v>45936.93194444444</v>
      </c>
      <c r="H121" s="7" t="n">
        <v>45936.93197916666</v>
      </c>
      <c r="I121" s="6" t="inlineStr">
        <is>
          <t>COMPLETED</t>
        </is>
      </c>
      <c r="J121" s="6" t="n">
        <v>10</v>
      </c>
      <c r="K121" s="11">
        <f>(H121-G121)*1440</f>
        <v/>
      </c>
      <c r="L121" s="10">
        <f>IF(K121&gt;J121,"YES","NO")</f>
        <v/>
      </c>
    </row>
    <row r="122">
      <c r="A122" s="6" t="inlineStr">
        <is>
          <t>I4C-CASE-2025-0021</t>
        </is>
      </c>
      <c r="B122" s="6" t="inlineStr">
        <is>
          <t>31608230000021</t>
        </is>
      </c>
      <c r="C122" s="6" t="inlineStr">
        <is>
          <t>cc2c80ef-e1cd-4a3f-a6fe-9aad3850ab1b</t>
        </is>
      </c>
      <c r="D122" s="6" t="n">
        <v>1</v>
      </c>
      <c r="E122" s="6" t="inlineStr">
        <is>
          <t>I4C_PUSH_RECEIVED</t>
        </is>
      </c>
      <c r="F122" s="6" t="inlineStr">
        <is>
          <t>I4C</t>
        </is>
      </c>
      <c r="G122" s="7" t="n">
        <v>45937.78819444445</v>
      </c>
      <c r="H122" s="7" t="n">
        <v>45937.78819444445</v>
      </c>
      <c r="I122" s="6" t="inlineStr">
        <is>
          <t>COMPLETED</t>
        </is>
      </c>
      <c r="J122" s="6" t="n">
        <v>1</v>
      </c>
      <c r="K122" s="11">
        <f>(H122-G122)*1440</f>
        <v/>
      </c>
      <c r="L122" s="10">
        <f>IF(K122&gt;J122,"YES","NO")</f>
        <v/>
      </c>
    </row>
    <row r="123">
      <c r="A123" s="6" t="inlineStr">
        <is>
          <t>I4C-CASE-2025-0021</t>
        </is>
      </c>
      <c r="B123" s="6" t="inlineStr">
        <is>
          <t>31608230000021</t>
        </is>
      </c>
      <c r="C123" s="6" t="inlineStr">
        <is>
          <t>cc2c80ef-e1cd-4a3f-a6fe-9aad3850ab1b</t>
        </is>
      </c>
      <c r="D123" s="6" t="n">
        <v>2</v>
      </c>
      <c r="E123" s="6" t="inlineStr">
        <is>
          <t>BANK_ACK_SENT</t>
        </is>
      </c>
      <c r="F123" s="6" t="inlineStr">
        <is>
          <t>Bank-System</t>
        </is>
      </c>
      <c r="G123" s="7" t="n">
        <v>45937.78819444445</v>
      </c>
      <c r="H123" s="7" t="n">
        <v>45937.78825231481</v>
      </c>
      <c r="I123" s="6" t="inlineStr">
        <is>
          <t>COMPLETED</t>
        </is>
      </c>
      <c r="J123" s="6" t="n">
        <v>1</v>
      </c>
      <c r="K123" s="11">
        <f>(H123-G123)*1440</f>
        <v/>
      </c>
      <c r="L123" s="10">
        <f>IF(K123&gt;J123,"YES","NO")</f>
        <v/>
      </c>
    </row>
    <row r="124">
      <c r="A124" s="6" t="inlineStr">
        <is>
          <t>I4C-CASE-2025-0021</t>
        </is>
      </c>
      <c r="B124" s="6" t="inlineStr">
        <is>
          <t>31608230000021</t>
        </is>
      </c>
      <c r="C124" s="6" t="inlineStr">
        <is>
          <t>cc2c80ef-e1cd-4a3f-a6fe-9aad3850ab1b</t>
        </is>
      </c>
      <c r="D124" s="6" t="n">
        <v>3</v>
      </c>
      <c r="E124" s="6" t="inlineStr">
        <is>
          <t>ENRICHMENT_ROUTING</t>
        </is>
      </c>
      <c r="F124" s="6" t="inlineStr">
        <is>
          <t>Bank-System</t>
        </is>
      </c>
      <c r="G124" s="7" t="n">
        <v>45937.78825231481</v>
      </c>
      <c r="H124" s="7" t="n">
        <v>45937.79236111111</v>
      </c>
      <c r="I124" s="6" t="inlineStr">
        <is>
          <t>COMPLETED</t>
        </is>
      </c>
      <c r="J124" s="6" t="n">
        <v>15</v>
      </c>
      <c r="K124" s="11">
        <f>(H124-G124)*1440</f>
        <v/>
      </c>
      <c r="L124" s="10">
        <f>IF(K124&gt;J124,"YES","NO")</f>
        <v/>
      </c>
    </row>
    <row r="125">
      <c r="A125" s="6" t="inlineStr">
        <is>
          <t>I4C-CASE-2025-0021</t>
        </is>
      </c>
      <c r="B125" s="6" t="inlineStr">
        <is>
          <t>31608230000021</t>
        </is>
      </c>
      <c r="C125" s="6" t="inlineStr">
        <is>
          <t>cc2c80ef-e1cd-4a3f-a6fe-9aad3850ab1b</t>
        </is>
      </c>
      <c r="D125" s="6" t="n">
        <v>4</v>
      </c>
      <c r="E125" s="6" t="inlineStr">
        <is>
          <t>HOLD_ACTION_ATTEMPTED</t>
        </is>
      </c>
      <c r="F125" s="6" t="inlineStr">
        <is>
          <t>Bank-Ops</t>
        </is>
      </c>
      <c r="G125" s="7" t="n">
        <v>45937.79236111111</v>
      </c>
      <c r="H125" s="7" t="n">
        <v>45937.79861111111</v>
      </c>
      <c r="I125" s="6" t="inlineStr">
        <is>
          <t>COMPLETED</t>
        </is>
      </c>
      <c r="J125" s="6" t="n">
        <v>30</v>
      </c>
      <c r="K125" s="11">
        <f>(H125-G125)*1440</f>
        <v/>
      </c>
      <c r="L125" s="10">
        <f>IF(K125&gt;J125,"YES","NO")</f>
        <v/>
      </c>
    </row>
    <row r="126">
      <c r="A126" s="6" t="inlineStr">
        <is>
          <t>I4C-CASE-2025-0021</t>
        </is>
      </c>
      <c r="B126" s="6" t="inlineStr">
        <is>
          <t>31608230000021</t>
        </is>
      </c>
      <c r="C126" s="6" t="inlineStr">
        <is>
          <t>cc2c80ef-e1cd-4a3f-a6fe-9aad3850ab1b</t>
        </is>
      </c>
      <c r="D126" s="6" t="n">
        <v>5</v>
      </c>
      <c r="E126" s="6" t="inlineStr">
        <is>
          <t>STATUS_UPDATE_SENT</t>
        </is>
      </c>
      <c r="F126" s="6" t="inlineStr">
        <is>
          <t>Bank-System</t>
        </is>
      </c>
      <c r="G126" s="7" t="n">
        <v>45937.79861111111</v>
      </c>
      <c r="H126" s="7" t="n">
        <v>45937.79930555556</v>
      </c>
      <c r="I126" s="6" t="inlineStr">
        <is>
          <t>COMPLETED</t>
        </is>
      </c>
      <c r="J126" s="6" t="n">
        <v>60</v>
      </c>
      <c r="K126" s="11">
        <f>(H126-G126)*1440</f>
        <v/>
      </c>
      <c r="L126" s="10">
        <f>IF(K126&gt;J126,"YES","NO")</f>
        <v/>
      </c>
    </row>
    <row r="127">
      <c r="A127" s="6" t="inlineStr">
        <is>
          <t>I4C-CASE-2025-0021</t>
        </is>
      </c>
      <c r="B127" s="6" t="inlineStr">
        <is>
          <t>31608230000021</t>
        </is>
      </c>
      <c r="C127" s="6" t="inlineStr">
        <is>
          <t>cc2c80ef-e1cd-4a3f-a6fe-9aad3850ab1b</t>
        </is>
      </c>
      <c r="D127" s="6" t="n">
        <v>6</v>
      </c>
      <c r="E127" s="6" t="inlineStr">
        <is>
          <t>I4C_STATUS_UPDATE_RESPONSE</t>
        </is>
      </c>
      <c r="F127" s="6" t="inlineStr">
        <is>
          <t>I4C</t>
        </is>
      </c>
      <c r="G127" s="7" t="n">
        <v>45937.79930555556</v>
      </c>
      <c r="H127" s="7" t="n">
        <v>45937.79934027778</v>
      </c>
      <c r="I127" s="6" t="inlineStr">
        <is>
          <t>COMPLETED</t>
        </is>
      </c>
      <c r="J127" s="6" t="n">
        <v>10</v>
      </c>
      <c r="K127" s="11">
        <f>(H127-G127)*1440</f>
        <v/>
      </c>
      <c r="L127" s="10">
        <f>IF(K127&gt;J127,"YES","NO")</f>
        <v/>
      </c>
    </row>
    <row r="128">
      <c r="A128" s="6" t="inlineStr">
        <is>
          <t>I4C-CASE-2025-0022</t>
        </is>
      </c>
      <c r="B128" s="6" t="inlineStr">
        <is>
          <t>31608230000022</t>
        </is>
      </c>
      <c r="C128" s="6" t="inlineStr">
        <is>
          <t>c448c5ea-5f48-4c6a-bd8f-92d098983753</t>
        </is>
      </c>
      <c r="D128" s="6" t="n">
        <v>1</v>
      </c>
      <c r="E128" s="6" t="inlineStr">
        <is>
          <t>I4C_PUSH_RECEIVED</t>
        </is>
      </c>
      <c r="F128" s="6" t="inlineStr">
        <is>
          <t>I4C</t>
        </is>
      </c>
      <c r="G128" s="7" t="n">
        <v>45937.10416666666</v>
      </c>
      <c r="H128" s="7" t="n">
        <v>45937.10416666666</v>
      </c>
      <c r="I128" s="6" t="inlineStr">
        <is>
          <t>COMPLETED</t>
        </is>
      </c>
      <c r="J128" s="6" t="n">
        <v>1</v>
      </c>
      <c r="K128" s="11">
        <f>(H128-G128)*1440</f>
        <v/>
      </c>
      <c r="L128" s="10">
        <f>IF(K128&gt;J128,"YES","NO")</f>
        <v/>
      </c>
    </row>
    <row r="129">
      <c r="A129" s="6" t="inlineStr">
        <is>
          <t>I4C-CASE-2025-0022</t>
        </is>
      </c>
      <c r="B129" s="6" t="inlineStr">
        <is>
          <t>31608230000022</t>
        </is>
      </c>
      <c r="C129" s="6" t="inlineStr">
        <is>
          <t>c448c5ea-5f48-4c6a-bd8f-92d098983753</t>
        </is>
      </c>
      <c r="D129" s="6" t="n">
        <v>2</v>
      </c>
      <c r="E129" s="6" t="inlineStr">
        <is>
          <t>BANK_ACK_SENT</t>
        </is>
      </c>
      <c r="F129" s="6" t="inlineStr">
        <is>
          <t>Bank-System</t>
        </is>
      </c>
      <c r="G129" s="7" t="n">
        <v>45937.10416666666</v>
      </c>
      <c r="H129" s="7" t="n">
        <v>45937.10422453703</v>
      </c>
      <c r="I129" s="6" t="inlineStr">
        <is>
          <t>COMPLETED</t>
        </is>
      </c>
      <c r="J129" s="6" t="n">
        <v>1</v>
      </c>
      <c r="K129" s="11">
        <f>(H129-G129)*1440</f>
        <v/>
      </c>
      <c r="L129" s="10">
        <f>IF(K129&gt;J129,"YES","NO")</f>
        <v/>
      </c>
    </row>
    <row r="130">
      <c r="A130" s="6" t="inlineStr">
        <is>
          <t>I4C-CASE-2025-0022</t>
        </is>
      </c>
      <c r="B130" s="6" t="inlineStr">
        <is>
          <t>31608230000022</t>
        </is>
      </c>
      <c r="C130" s="6" t="inlineStr">
        <is>
          <t>c448c5ea-5f48-4c6a-bd8f-92d098983753</t>
        </is>
      </c>
      <c r="D130" s="6" t="n">
        <v>3</v>
      </c>
      <c r="E130" s="6" t="inlineStr">
        <is>
          <t>ENRICHMENT_ROUTING</t>
        </is>
      </c>
      <c r="F130" s="6" t="inlineStr">
        <is>
          <t>Bank-System</t>
        </is>
      </c>
      <c r="G130" s="7" t="n">
        <v>45937.10422453703</v>
      </c>
      <c r="H130" s="7" t="n">
        <v>45937.10902777778</v>
      </c>
      <c r="I130" s="6" t="inlineStr">
        <is>
          <t>COMPLETED</t>
        </is>
      </c>
      <c r="J130" s="6" t="n">
        <v>15</v>
      </c>
      <c r="K130" s="11">
        <f>(H130-G130)*1440</f>
        <v/>
      </c>
      <c r="L130" s="10">
        <f>IF(K130&gt;J130,"YES","NO")</f>
        <v/>
      </c>
    </row>
    <row r="131">
      <c r="A131" s="6" t="inlineStr">
        <is>
          <t>I4C-CASE-2025-0022</t>
        </is>
      </c>
      <c r="B131" s="6" t="inlineStr">
        <is>
          <t>31608230000022</t>
        </is>
      </c>
      <c r="C131" s="6" t="inlineStr">
        <is>
          <t>c448c5ea-5f48-4c6a-bd8f-92d098983753</t>
        </is>
      </c>
      <c r="D131" s="6" t="n">
        <v>4</v>
      </c>
      <c r="E131" s="6" t="inlineStr">
        <is>
          <t>HOLD_ACTION_ATTEMPTED</t>
        </is>
      </c>
      <c r="F131" s="6" t="inlineStr">
        <is>
          <t>Bank-Ops</t>
        </is>
      </c>
      <c r="G131" s="7" t="n">
        <v>45937.10902777778</v>
      </c>
      <c r="H131" s="7" t="n">
        <v>45937.11666666667</v>
      </c>
      <c r="I131" s="6" t="inlineStr">
        <is>
          <t>COMPLETED</t>
        </is>
      </c>
      <c r="J131" s="6" t="n">
        <v>30</v>
      </c>
      <c r="K131" s="11">
        <f>(H131-G131)*1440</f>
        <v/>
      </c>
      <c r="L131" s="10">
        <f>IF(K131&gt;J131,"YES","NO")</f>
        <v/>
      </c>
    </row>
    <row r="132">
      <c r="A132" s="6" t="inlineStr">
        <is>
          <t>I4C-CASE-2025-0022</t>
        </is>
      </c>
      <c r="B132" s="6" t="inlineStr">
        <is>
          <t>31608230000022</t>
        </is>
      </c>
      <c r="C132" s="6" t="inlineStr">
        <is>
          <t>c448c5ea-5f48-4c6a-bd8f-92d098983753</t>
        </is>
      </c>
      <c r="D132" s="6" t="n">
        <v>5</v>
      </c>
      <c r="E132" s="6" t="inlineStr">
        <is>
          <t>STATUS_UPDATE_SENT</t>
        </is>
      </c>
      <c r="F132" s="6" t="inlineStr">
        <is>
          <t>Bank-System</t>
        </is>
      </c>
      <c r="G132" s="7" t="n">
        <v>45937.11666666667</v>
      </c>
      <c r="H132" s="7" t="n">
        <v>45937.11805555555</v>
      </c>
      <c r="I132" s="6" t="inlineStr">
        <is>
          <t>COMPLETED</t>
        </is>
      </c>
      <c r="J132" s="6" t="n">
        <v>60</v>
      </c>
      <c r="K132" s="11">
        <f>(H132-G132)*1440</f>
        <v/>
      </c>
      <c r="L132" s="10">
        <f>IF(K132&gt;J132,"YES","NO")</f>
        <v/>
      </c>
    </row>
    <row r="133">
      <c r="A133" s="6" t="inlineStr">
        <is>
          <t>I4C-CASE-2025-0022</t>
        </is>
      </c>
      <c r="B133" s="6" t="inlineStr">
        <is>
          <t>31608230000022</t>
        </is>
      </c>
      <c r="C133" s="6" t="inlineStr">
        <is>
          <t>c448c5ea-5f48-4c6a-bd8f-92d098983753</t>
        </is>
      </c>
      <c r="D133" s="6" t="n">
        <v>6</v>
      </c>
      <c r="E133" s="6" t="inlineStr">
        <is>
          <t>I4C_STATUS_UPDATE_RESPONSE</t>
        </is>
      </c>
      <c r="F133" s="6" t="inlineStr">
        <is>
          <t>I4C</t>
        </is>
      </c>
      <c r="G133" s="7" t="n">
        <v>45937.11805555555</v>
      </c>
      <c r="H133" s="7" t="n">
        <v>45937.11809027778</v>
      </c>
      <c r="I133" s="6" t="inlineStr">
        <is>
          <t>COMPLETED</t>
        </is>
      </c>
      <c r="J133" s="6" t="n">
        <v>10</v>
      </c>
      <c r="K133" s="11">
        <f>(H133-G133)*1440</f>
        <v/>
      </c>
      <c r="L133" s="10">
        <f>IF(K133&gt;J133,"YES","NO")</f>
        <v/>
      </c>
    </row>
    <row r="134">
      <c r="A134" s="6" t="inlineStr">
        <is>
          <t>I4C-CASE-2025-0023</t>
        </is>
      </c>
      <c r="B134" s="6" t="inlineStr">
        <is>
          <t>31608230000023</t>
        </is>
      </c>
      <c r="C134" s="6" t="inlineStr">
        <is>
          <t>cf64d3e6-8e1a-4394-9bf7-a06993c80807</t>
        </is>
      </c>
      <c r="D134" s="6" t="n">
        <v>1</v>
      </c>
      <c r="E134" s="6" t="inlineStr">
        <is>
          <t>I4C_PUSH_RECEIVED</t>
        </is>
      </c>
      <c r="F134" s="6" t="inlineStr">
        <is>
          <t>I4C</t>
        </is>
      </c>
      <c r="G134" s="7" t="n">
        <v>45938.68402777778</v>
      </c>
      <c r="H134" s="7" t="n">
        <v>45938.68402777778</v>
      </c>
      <c r="I134" s="6" t="inlineStr">
        <is>
          <t>COMPLETED</t>
        </is>
      </c>
      <c r="J134" s="6" t="n">
        <v>1</v>
      </c>
      <c r="K134" s="11">
        <f>(H134-G134)*1440</f>
        <v/>
      </c>
      <c r="L134" s="10">
        <f>IF(K134&gt;J134,"YES","NO")</f>
        <v/>
      </c>
    </row>
    <row r="135">
      <c r="A135" s="6" t="inlineStr">
        <is>
          <t>I4C-CASE-2025-0023</t>
        </is>
      </c>
      <c r="B135" s="6" t="inlineStr">
        <is>
          <t>31608230000023</t>
        </is>
      </c>
      <c r="C135" s="6" t="inlineStr">
        <is>
          <t>cf64d3e6-8e1a-4394-9bf7-a06993c80807</t>
        </is>
      </c>
      <c r="D135" s="6" t="n">
        <v>2</v>
      </c>
      <c r="E135" s="6" t="inlineStr">
        <is>
          <t>BANK_ACK_SENT</t>
        </is>
      </c>
      <c r="F135" s="6" t="inlineStr">
        <is>
          <t>Bank-System</t>
        </is>
      </c>
      <c r="G135" s="7" t="n">
        <v>45938.68402777778</v>
      </c>
      <c r="H135" s="7" t="n">
        <v>45938.68408564815</v>
      </c>
      <c r="I135" s="6" t="inlineStr">
        <is>
          <t>COMPLETED</t>
        </is>
      </c>
      <c r="J135" s="6" t="n">
        <v>1</v>
      </c>
      <c r="K135" s="11">
        <f>(H135-G135)*1440</f>
        <v/>
      </c>
      <c r="L135" s="10">
        <f>IF(K135&gt;J135,"YES","NO")</f>
        <v/>
      </c>
    </row>
    <row r="136">
      <c r="A136" s="6" t="inlineStr">
        <is>
          <t>I4C-CASE-2025-0023</t>
        </is>
      </c>
      <c r="B136" s="6" t="inlineStr">
        <is>
          <t>31608230000023</t>
        </is>
      </c>
      <c r="C136" s="6" t="inlineStr">
        <is>
          <t>cf64d3e6-8e1a-4394-9bf7-a06993c80807</t>
        </is>
      </c>
      <c r="D136" s="6" t="n">
        <v>3</v>
      </c>
      <c r="E136" s="6" t="inlineStr">
        <is>
          <t>ENRICHMENT_ROUTING</t>
        </is>
      </c>
      <c r="F136" s="6" t="inlineStr">
        <is>
          <t>Bank-System</t>
        </is>
      </c>
      <c r="G136" s="7" t="n">
        <v>45938.68408564815</v>
      </c>
      <c r="H136" s="7" t="n">
        <v>45938.68888888889</v>
      </c>
      <c r="I136" s="6" t="inlineStr">
        <is>
          <t>COMPLETED</t>
        </is>
      </c>
      <c r="J136" s="6" t="n">
        <v>15</v>
      </c>
      <c r="K136" s="11">
        <f>(H136-G136)*1440</f>
        <v/>
      </c>
      <c r="L136" s="10">
        <f>IF(K136&gt;J136,"YES","NO")</f>
        <v/>
      </c>
    </row>
    <row r="137">
      <c r="A137" s="6" t="inlineStr">
        <is>
          <t>I4C-CASE-2025-0023</t>
        </is>
      </c>
      <c r="B137" s="6" t="inlineStr">
        <is>
          <t>31608230000023</t>
        </is>
      </c>
      <c r="C137" s="6" t="inlineStr">
        <is>
          <t>cf64d3e6-8e1a-4394-9bf7-a06993c80807</t>
        </is>
      </c>
      <c r="D137" s="6" t="n">
        <v>4</v>
      </c>
      <c r="E137" s="6" t="inlineStr">
        <is>
          <t>HOLD_ACTION_ATTEMPTED</t>
        </is>
      </c>
      <c r="F137" s="6" t="inlineStr">
        <is>
          <t>Bank-Ops</t>
        </is>
      </c>
      <c r="G137" s="7" t="n">
        <v>45938.68888888889</v>
      </c>
      <c r="H137" s="7" t="n">
        <v>45938.69791666666</v>
      </c>
      <c r="I137" s="6" t="inlineStr">
        <is>
          <t>COMPLETED</t>
        </is>
      </c>
      <c r="J137" s="6" t="n">
        <v>30</v>
      </c>
      <c r="K137" s="11">
        <f>(H137-G137)*1440</f>
        <v/>
      </c>
      <c r="L137" s="10">
        <f>IF(K137&gt;J137,"YES","NO")</f>
        <v/>
      </c>
    </row>
    <row r="138">
      <c r="A138" s="6" t="inlineStr">
        <is>
          <t>I4C-CASE-2025-0023</t>
        </is>
      </c>
      <c r="B138" s="6" t="inlineStr">
        <is>
          <t>31608230000023</t>
        </is>
      </c>
      <c r="C138" s="6" t="inlineStr">
        <is>
          <t>cf64d3e6-8e1a-4394-9bf7-a06993c80807</t>
        </is>
      </c>
      <c r="D138" s="6" t="n">
        <v>5</v>
      </c>
      <c r="E138" s="6" t="inlineStr">
        <is>
          <t>STATUS_UPDATE_SENT</t>
        </is>
      </c>
      <c r="F138" s="6" t="inlineStr">
        <is>
          <t>Bank-System</t>
        </is>
      </c>
      <c r="G138" s="7" t="n">
        <v>45938.69791666666</v>
      </c>
      <c r="H138" s="7" t="n">
        <v>45938.70347222222</v>
      </c>
      <c r="I138" s="6" t="inlineStr">
        <is>
          <t>COMPLETED</t>
        </is>
      </c>
      <c r="J138" s="6" t="n">
        <v>60</v>
      </c>
      <c r="K138" s="11">
        <f>(H138-G138)*1440</f>
        <v/>
      </c>
      <c r="L138" s="10">
        <f>IF(K138&gt;J138,"YES","NO")</f>
        <v/>
      </c>
    </row>
    <row r="139">
      <c r="A139" s="6" t="inlineStr">
        <is>
          <t>I4C-CASE-2025-0023</t>
        </is>
      </c>
      <c r="B139" s="6" t="inlineStr">
        <is>
          <t>31608230000023</t>
        </is>
      </c>
      <c r="C139" s="6" t="inlineStr">
        <is>
          <t>cf64d3e6-8e1a-4394-9bf7-a06993c80807</t>
        </is>
      </c>
      <c r="D139" s="6" t="n">
        <v>6</v>
      </c>
      <c r="E139" s="6" t="inlineStr">
        <is>
          <t>I4C_STATUS_UPDATE_RESPONSE</t>
        </is>
      </c>
      <c r="F139" s="6" t="inlineStr">
        <is>
          <t>I4C</t>
        </is>
      </c>
      <c r="G139" s="7" t="n">
        <v>45938.70347222222</v>
      </c>
      <c r="H139" s="7" t="n">
        <v>45938.70350694445</v>
      </c>
      <c r="I139" s="6" t="inlineStr">
        <is>
          <t>COMPLETED</t>
        </is>
      </c>
      <c r="J139" s="6" t="n">
        <v>10</v>
      </c>
      <c r="K139" s="11">
        <f>(H139-G139)*1440</f>
        <v/>
      </c>
      <c r="L139" s="10">
        <f>IF(K139&gt;J139,"YES","NO")</f>
        <v/>
      </c>
    </row>
    <row r="140">
      <c r="A140" s="6" t="inlineStr">
        <is>
          <t>I4C-CASE-2025-0024</t>
        </is>
      </c>
      <c r="B140" s="6" t="inlineStr">
        <is>
          <t>31608230000024</t>
        </is>
      </c>
      <c r="C140" s="6" t="inlineStr">
        <is>
          <t>fd508175-47e4-4db9-9acc-f5b2c60a8ea5</t>
        </is>
      </c>
      <c r="D140" s="6" t="n">
        <v>1</v>
      </c>
      <c r="E140" s="6" t="inlineStr">
        <is>
          <t>I4C_PUSH_RECEIVED</t>
        </is>
      </c>
      <c r="F140" s="6" t="inlineStr">
        <is>
          <t>I4C</t>
        </is>
      </c>
      <c r="G140" s="7" t="n">
        <v>45953.32638888889</v>
      </c>
      <c r="H140" s="7" t="n">
        <v>45953.32638888889</v>
      </c>
      <c r="I140" s="6" t="inlineStr">
        <is>
          <t>COMPLETED</t>
        </is>
      </c>
      <c r="J140" s="6" t="n">
        <v>1</v>
      </c>
      <c r="K140" s="11">
        <f>(H140-G140)*1440</f>
        <v/>
      </c>
      <c r="L140" s="10">
        <f>IF(K140&gt;J140,"YES","NO")</f>
        <v/>
      </c>
    </row>
    <row r="141">
      <c r="A141" s="6" t="inlineStr">
        <is>
          <t>I4C-CASE-2025-0024</t>
        </is>
      </c>
      <c r="B141" s="6" t="inlineStr">
        <is>
          <t>31608230000024</t>
        </is>
      </c>
      <c r="C141" s="6" t="inlineStr">
        <is>
          <t>fd508175-47e4-4db9-9acc-f5b2c60a8ea5</t>
        </is>
      </c>
      <c r="D141" s="6" t="n">
        <v>2</v>
      </c>
      <c r="E141" s="6" t="inlineStr">
        <is>
          <t>BANK_ACK_SENT</t>
        </is>
      </c>
      <c r="F141" s="6" t="inlineStr">
        <is>
          <t>Bank-System</t>
        </is>
      </c>
      <c r="G141" s="7" t="n">
        <v>45953.32638888889</v>
      </c>
      <c r="H141" s="7" t="n">
        <v>45953.32644675926</v>
      </c>
      <c r="I141" s="6" t="inlineStr">
        <is>
          <t>COMPLETED</t>
        </is>
      </c>
      <c r="J141" s="6" t="n">
        <v>1</v>
      </c>
      <c r="K141" s="11">
        <f>(H141-G141)*1440</f>
        <v/>
      </c>
      <c r="L141" s="10">
        <f>IF(K141&gt;J141,"YES","NO")</f>
        <v/>
      </c>
    </row>
    <row r="142">
      <c r="A142" s="6" t="inlineStr">
        <is>
          <t>I4C-CASE-2025-0024</t>
        </is>
      </c>
      <c r="B142" s="6" t="inlineStr">
        <is>
          <t>31608230000024</t>
        </is>
      </c>
      <c r="C142" s="6" t="inlineStr">
        <is>
          <t>fd508175-47e4-4db9-9acc-f5b2c60a8ea5</t>
        </is>
      </c>
      <c r="D142" s="6" t="n">
        <v>3</v>
      </c>
      <c r="E142" s="6" t="inlineStr">
        <is>
          <t>ENRICHMENT_ROUTING</t>
        </is>
      </c>
      <c r="F142" s="6" t="inlineStr">
        <is>
          <t>Bank-System</t>
        </is>
      </c>
      <c r="G142" s="7" t="n">
        <v>45953.32644675926</v>
      </c>
      <c r="H142" s="7" t="n">
        <v>45953.33333333334</v>
      </c>
      <c r="I142" s="6" t="inlineStr">
        <is>
          <t>COMPLETED</t>
        </is>
      </c>
      <c r="J142" s="6" t="n">
        <v>15</v>
      </c>
      <c r="K142" s="11">
        <f>(H142-G142)*1440</f>
        <v/>
      </c>
      <c r="L142" s="10">
        <f>IF(K142&gt;J142,"YES","NO")</f>
        <v/>
      </c>
    </row>
    <row r="143">
      <c r="A143" s="6" t="inlineStr">
        <is>
          <t>I4C-CASE-2025-0024</t>
        </is>
      </c>
      <c r="B143" s="6" t="inlineStr">
        <is>
          <t>31608230000024</t>
        </is>
      </c>
      <c r="C143" s="6" t="inlineStr">
        <is>
          <t>fd508175-47e4-4db9-9acc-f5b2c60a8ea5</t>
        </is>
      </c>
      <c r="D143" s="6" t="n">
        <v>4</v>
      </c>
      <c r="E143" s="6" t="inlineStr">
        <is>
          <t>HOLD_ACTION_ATTEMPTED</t>
        </is>
      </c>
      <c r="F143" s="6" t="inlineStr">
        <is>
          <t>Bank-Ops</t>
        </is>
      </c>
      <c r="G143" s="7" t="n">
        <v>45953.33333333334</v>
      </c>
      <c r="H143" s="7" t="n">
        <v>45953.34166666667</v>
      </c>
      <c r="I143" s="6" t="inlineStr">
        <is>
          <t>COMPLETED</t>
        </is>
      </c>
      <c r="J143" s="6" t="n">
        <v>30</v>
      </c>
      <c r="K143" s="11">
        <f>(H143-G143)*1440</f>
        <v/>
      </c>
      <c r="L143" s="10">
        <f>IF(K143&gt;J143,"YES","NO")</f>
        <v/>
      </c>
    </row>
    <row r="144">
      <c r="A144" s="6" t="inlineStr">
        <is>
          <t>I4C-CASE-2025-0024</t>
        </is>
      </c>
      <c r="B144" s="6" t="inlineStr">
        <is>
          <t>31608230000024</t>
        </is>
      </c>
      <c r="C144" s="6" t="inlineStr">
        <is>
          <t>fd508175-47e4-4db9-9acc-f5b2c60a8ea5</t>
        </is>
      </c>
      <c r="D144" s="6" t="n">
        <v>5</v>
      </c>
      <c r="E144" s="6" t="inlineStr">
        <is>
          <t>STATUS_UPDATE_SENT</t>
        </is>
      </c>
      <c r="F144" s="6" t="inlineStr">
        <is>
          <t>Bank-System</t>
        </is>
      </c>
      <c r="G144" s="7" t="n">
        <v>45953.34166666667</v>
      </c>
      <c r="H144" s="7" t="n">
        <v>45953.34375</v>
      </c>
      <c r="I144" s="6" t="inlineStr">
        <is>
          <t>COMPLETED</t>
        </is>
      </c>
      <c r="J144" s="6" t="n">
        <v>60</v>
      </c>
      <c r="K144" s="11">
        <f>(H144-G144)*1440</f>
        <v/>
      </c>
      <c r="L144" s="10">
        <f>IF(K144&gt;J144,"YES","NO")</f>
        <v/>
      </c>
    </row>
    <row r="145">
      <c r="A145" s="6" t="inlineStr">
        <is>
          <t>I4C-CASE-2025-0024</t>
        </is>
      </c>
      <c r="B145" s="6" t="inlineStr">
        <is>
          <t>31608230000024</t>
        </is>
      </c>
      <c r="C145" s="6" t="inlineStr">
        <is>
          <t>fd508175-47e4-4db9-9acc-f5b2c60a8ea5</t>
        </is>
      </c>
      <c r="D145" s="6" t="n">
        <v>6</v>
      </c>
      <c r="E145" s="6" t="inlineStr">
        <is>
          <t>I4C_STATUS_UPDATE_RESPONSE</t>
        </is>
      </c>
      <c r="F145" s="6" t="inlineStr">
        <is>
          <t>I4C</t>
        </is>
      </c>
      <c r="G145" s="7" t="n">
        <v>45953.34375</v>
      </c>
      <c r="H145" s="7" t="n">
        <v>45953.34378472222</v>
      </c>
      <c r="I145" s="6" t="inlineStr">
        <is>
          <t>COMPLETED</t>
        </is>
      </c>
      <c r="J145" s="6" t="n">
        <v>10</v>
      </c>
      <c r="K145" s="11">
        <f>(H145-G145)*1440</f>
        <v/>
      </c>
      <c r="L145" s="10">
        <f>IF(K145&gt;J145,"YES","NO")</f>
        <v/>
      </c>
    </row>
    <row r="146">
      <c r="A146" s="6" t="inlineStr">
        <is>
          <t>I4C-CASE-2025-0025</t>
        </is>
      </c>
      <c r="B146" s="6" t="inlineStr">
        <is>
          <t>31608230000025</t>
        </is>
      </c>
      <c r="C146" s="6" t="inlineStr">
        <is>
          <t>e6020150-28c4-4133-b8bf-8b84494d3c11</t>
        </is>
      </c>
      <c r="D146" s="6" t="n">
        <v>1</v>
      </c>
      <c r="E146" s="6" t="inlineStr">
        <is>
          <t>I4C_PUSH_RECEIVED</t>
        </is>
      </c>
      <c r="F146" s="6" t="inlineStr">
        <is>
          <t>I4C</t>
        </is>
      </c>
      <c r="G146" s="7" t="n">
        <v>45946.81944444445</v>
      </c>
      <c r="H146" s="7" t="n">
        <v>45946.81944444445</v>
      </c>
      <c r="I146" s="6" t="inlineStr">
        <is>
          <t>COMPLETED</t>
        </is>
      </c>
      <c r="J146" s="6" t="n">
        <v>1</v>
      </c>
      <c r="K146" s="11">
        <f>(H146-G146)*1440</f>
        <v/>
      </c>
      <c r="L146" s="10">
        <f>IF(K146&gt;J146,"YES","NO")</f>
        <v/>
      </c>
    </row>
    <row r="147">
      <c r="A147" s="6" t="inlineStr">
        <is>
          <t>I4C-CASE-2025-0025</t>
        </is>
      </c>
      <c r="B147" s="6" t="inlineStr">
        <is>
          <t>31608230000025</t>
        </is>
      </c>
      <c r="C147" s="6" t="inlineStr">
        <is>
          <t>e6020150-28c4-4133-b8bf-8b84494d3c11</t>
        </is>
      </c>
      <c r="D147" s="6" t="n">
        <v>2</v>
      </c>
      <c r="E147" s="6" t="inlineStr">
        <is>
          <t>BANK_ACK_SENT</t>
        </is>
      </c>
      <c r="F147" s="6" t="inlineStr">
        <is>
          <t>Bank-System</t>
        </is>
      </c>
      <c r="G147" s="7" t="n">
        <v>45946.81944444445</v>
      </c>
      <c r="H147" s="7" t="n">
        <v>45946.81950231481</v>
      </c>
      <c r="I147" s="6" t="inlineStr">
        <is>
          <t>COMPLETED</t>
        </is>
      </c>
      <c r="J147" s="6" t="n">
        <v>1</v>
      </c>
      <c r="K147" s="11">
        <f>(H147-G147)*1440</f>
        <v/>
      </c>
      <c r="L147" s="10">
        <f>IF(K147&gt;J147,"YES","NO")</f>
        <v/>
      </c>
    </row>
    <row r="148">
      <c r="A148" s="6" t="inlineStr">
        <is>
          <t>I4C-CASE-2025-0025</t>
        </is>
      </c>
      <c r="B148" s="6" t="inlineStr">
        <is>
          <t>31608230000025</t>
        </is>
      </c>
      <c r="C148" s="6" t="inlineStr">
        <is>
          <t>e6020150-28c4-4133-b8bf-8b84494d3c11</t>
        </is>
      </c>
      <c r="D148" s="6" t="n">
        <v>3</v>
      </c>
      <c r="E148" s="6" t="inlineStr">
        <is>
          <t>ENRICHMENT_ROUTING</t>
        </is>
      </c>
      <c r="F148" s="6" t="inlineStr">
        <is>
          <t>Bank-System</t>
        </is>
      </c>
      <c r="G148" s="7" t="n">
        <v>45946.81950231481</v>
      </c>
      <c r="H148" s="7" t="n">
        <v>45946.82083333333</v>
      </c>
      <c r="I148" s="6" t="inlineStr">
        <is>
          <t>COMPLETED</t>
        </is>
      </c>
      <c r="J148" s="6" t="n">
        <v>15</v>
      </c>
      <c r="K148" s="11">
        <f>(H148-G148)*1440</f>
        <v/>
      </c>
      <c r="L148" s="10">
        <f>IF(K148&gt;J148,"YES","NO")</f>
        <v/>
      </c>
    </row>
    <row r="149">
      <c r="A149" s="6" t="inlineStr">
        <is>
          <t>I4C-CASE-2025-0025</t>
        </is>
      </c>
      <c r="B149" s="6" t="inlineStr">
        <is>
          <t>31608230000025</t>
        </is>
      </c>
      <c r="C149" s="6" t="inlineStr">
        <is>
          <t>e6020150-28c4-4133-b8bf-8b84494d3c11</t>
        </is>
      </c>
      <c r="D149" s="6" t="n">
        <v>4</v>
      </c>
      <c r="E149" s="6" t="inlineStr">
        <is>
          <t>HOLD_ACTION_ATTEMPTED</t>
        </is>
      </c>
      <c r="F149" s="6" t="inlineStr">
        <is>
          <t>Bank-Ops</t>
        </is>
      </c>
      <c r="G149" s="7" t="n">
        <v>45946.82083333333</v>
      </c>
      <c r="H149" s="7" t="n">
        <v>45946.82569444444</v>
      </c>
      <c r="I149" s="6" t="inlineStr">
        <is>
          <t>COMPLETED</t>
        </is>
      </c>
      <c r="J149" s="6" t="n">
        <v>30</v>
      </c>
      <c r="K149" s="11">
        <f>(H149-G149)*1440</f>
        <v/>
      </c>
      <c r="L149" s="10">
        <f>IF(K149&gt;J149,"YES","NO")</f>
        <v/>
      </c>
    </row>
    <row r="150">
      <c r="A150" s="6" t="inlineStr">
        <is>
          <t>I4C-CASE-2025-0025</t>
        </is>
      </c>
      <c r="B150" s="6" t="inlineStr">
        <is>
          <t>31608230000025</t>
        </is>
      </c>
      <c r="C150" s="6" t="inlineStr">
        <is>
          <t>e6020150-28c4-4133-b8bf-8b84494d3c11</t>
        </is>
      </c>
      <c r="D150" s="6" t="n">
        <v>5</v>
      </c>
      <c r="E150" s="6" t="inlineStr">
        <is>
          <t>STATUS_UPDATE_SENT</t>
        </is>
      </c>
      <c r="F150" s="6" t="inlineStr">
        <is>
          <t>Bank-System</t>
        </is>
      </c>
      <c r="G150" s="7" t="n">
        <v>45946.82569444444</v>
      </c>
      <c r="H150" s="7" t="n">
        <v>45946.82777777778</v>
      </c>
      <c r="I150" s="6" t="inlineStr">
        <is>
          <t>COMPLETED</t>
        </is>
      </c>
      <c r="J150" s="6" t="n">
        <v>60</v>
      </c>
      <c r="K150" s="11">
        <f>(H150-G150)*1440</f>
        <v/>
      </c>
      <c r="L150" s="10">
        <f>IF(K150&gt;J150,"YES","NO")</f>
        <v/>
      </c>
    </row>
    <row r="151">
      <c r="A151" s="6" t="inlineStr">
        <is>
          <t>I4C-CASE-2025-0025</t>
        </is>
      </c>
      <c r="B151" s="6" t="inlineStr">
        <is>
          <t>31608230000025</t>
        </is>
      </c>
      <c r="C151" s="6" t="inlineStr">
        <is>
          <t>e6020150-28c4-4133-b8bf-8b84494d3c11</t>
        </is>
      </c>
      <c r="D151" s="6" t="n">
        <v>6</v>
      </c>
      <c r="E151" s="6" t="inlineStr">
        <is>
          <t>I4C_STATUS_UPDATE_RESPONSE</t>
        </is>
      </c>
      <c r="F151" s="6" t="inlineStr">
        <is>
          <t>I4C</t>
        </is>
      </c>
      <c r="G151" s="7" t="n">
        <v>45946.82777777778</v>
      </c>
      <c r="H151" s="7" t="n">
        <v>45946.8278125</v>
      </c>
      <c r="I151" s="6" t="inlineStr">
        <is>
          <t>COMPLETED</t>
        </is>
      </c>
      <c r="J151" s="6" t="n">
        <v>10</v>
      </c>
      <c r="K151" s="11">
        <f>(H151-G151)*1440</f>
        <v/>
      </c>
      <c r="L151" s="10">
        <f>IF(K151&gt;J151,"YES","NO")</f>
        <v/>
      </c>
    </row>
    <row r="152">
      <c r="A152" s="6" t="inlineStr">
        <is>
          <t>I4C-CASE-2025-0026</t>
        </is>
      </c>
      <c r="B152" s="6" t="inlineStr">
        <is>
          <t>31608230000026</t>
        </is>
      </c>
      <c r="C152" s="6" t="inlineStr">
        <is>
          <t>0c3b8a7e-84e0-4bf7-90b1-90943ee41090</t>
        </is>
      </c>
      <c r="D152" s="6" t="n">
        <v>1</v>
      </c>
      <c r="E152" s="6" t="inlineStr">
        <is>
          <t>I4C_PUSH_RECEIVED</t>
        </is>
      </c>
      <c r="F152" s="6" t="inlineStr">
        <is>
          <t>I4C</t>
        </is>
      </c>
      <c r="G152" s="7" t="n">
        <v>45958.6875</v>
      </c>
      <c r="H152" s="7" t="n">
        <v>45958.6875</v>
      </c>
      <c r="I152" s="6" t="inlineStr">
        <is>
          <t>COMPLETED</t>
        </is>
      </c>
      <c r="J152" s="6" t="n">
        <v>1</v>
      </c>
      <c r="K152" s="11">
        <f>(H152-G152)*1440</f>
        <v/>
      </c>
      <c r="L152" s="10">
        <f>IF(K152&gt;J152,"YES","NO")</f>
        <v/>
      </c>
    </row>
    <row r="153">
      <c r="A153" s="6" t="inlineStr">
        <is>
          <t>I4C-CASE-2025-0026</t>
        </is>
      </c>
      <c r="B153" s="6" t="inlineStr">
        <is>
          <t>31608230000026</t>
        </is>
      </c>
      <c r="C153" s="6" t="inlineStr">
        <is>
          <t>0c3b8a7e-84e0-4bf7-90b1-90943ee41090</t>
        </is>
      </c>
      <c r="D153" s="6" t="n">
        <v>2</v>
      </c>
      <c r="E153" s="6" t="inlineStr">
        <is>
          <t>BANK_ACK_SENT</t>
        </is>
      </c>
      <c r="F153" s="6" t="inlineStr">
        <is>
          <t>Bank-System</t>
        </is>
      </c>
      <c r="G153" s="7" t="n">
        <v>45958.6875</v>
      </c>
      <c r="H153" s="7" t="n">
        <v>45958.68755787037</v>
      </c>
      <c r="I153" s="6" t="inlineStr">
        <is>
          <t>COMPLETED</t>
        </is>
      </c>
      <c r="J153" s="6" t="n">
        <v>1</v>
      </c>
      <c r="K153" s="11">
        <f>(H153-G153)*1440</f>
        <v/>
      </c>
      <c r="L153" s="10">
        <f>IF(K153&gt;J153,"YES","NO")</f>
        <v/>
      </c>
    </row>
    <row r="154">
      <c r="A154" s="6" t="inlineStr">
        <is>
          <t>I4C-CASE-2025-0026</t>
        </is>
      </c>
      <c r="B154" s="6" t="inlineStr">
        <is>
          <t>31608230000026</t>
        </is>
      </c>
      <c r="C154" s="6" t="inlineStr">
        <is>
          <t>0c3b8a7e-84e0-4bf7-90b1-90943ee41090</t>
        </is>
      </c>
      <c r="D154" s="6" t="n">
        <v>3</v>
      </c>
      <c r="E154" s="6" t="inlineStr">
        <is>
          <t>ENRICHMENT_ROUTING</t>
        </is>
      </c>
      <c r="F154" s="6" t="inlineStr">
        <is>
          <t>Bank-System</t>
        </is>
      </c>
      <c r="G154" s="7" t="n">
        <v>45958.68755787037</v>
      </c>
      <c r="H154" s="7" t="n">
        <v>45958.69375</v>
      </c>
      <c r="I154" s="6" t="inlineStr">
        <is>
          <t>COMPLETED</t>
        </is>
      </c>
      <c r="J154" s="6" t="n">
        <v>15</v>
      </c>
      <c r="K154" s="11">
        <f>(H154-G154)*1440</f>
        <v/>
      </c>
      <c r="L154" s="10">
        <f>IF(K154&gt;J154,"YES","NO")</f>
        <v/>
      </c>
    </row>
    <row r="155">
      <c r="A155" s="6" t="inlineStr">
        <is>
          <t>I4C-CASE-2025-0026</t>
        </is>
      </c>
      <c r="B155" s="6" t="inlineStr">
        <is>
          <t>31608230000026</t>
        </is>
      </c>
      <c r="C155" s="6" t="inlineStr">
        <is>
          <t>0c3b8a7e-84e0-4bf7-90b1-90943ee41090</t>
        </is>
      </c>
      <c r="D155" s="6" t="n">
        <v>4</v>
      </c>
      <c r="E155" s="6" t="inlineStr">
        <is>
          <t>HOLD_ACTION_ATTEMPTED</t>
        </is>
      </c>
      <c r="F155" s="6" t="inlineStr">
        <is>
          <t>Bank-Ops</t>
        </is>
      </c>
      <c r="G155" s="7" t="n">
        <v>45958.69375</v>
      </c>
      <c r="H155" s="7" t="n">
        <v>45958.7</v>
      </c>
      <c r="I155" s="6" t="inlineStr">
        <is>
          <t>COMPLETED</t>
        </is>
      </c>
      <c r="J155" s="6" t="n">
        <v>30</v>
      </c>
      <c r="K155" s="11">
        <f>(H155-G155)*1440</f>
        <v/>
      </c>
      <c r="L155" s="10">
        <f>IF(K155&gt;J155,"YES","NO")</f>
        <v/>
      </c>
    </row>
    <row r="156">
      <c r="A156" s="6" t="inlineStr">
        <is>
          <t>I4C-CASE-2025-0026</t>
        </is>
      </c>
      <c r="B156" s="6" t="inlineStr">
        <is>
          <t>31608230000026</t>
        </is>
      </c>
      <c r="C156" s="6" t="inlineStr">
        <is>
          <t>0c3b8a7e-84e0-4bf7-90b1-90943ee41090</t>
        </is>
      </c>
      <c r="D156" s="6" t="n">
        <v>5</v>
      </c>
      <c r="E156" s="6" t="inlineStr">
        <is>
          <t>STATUS_UPDATE_SENT</t>
        </is>
      </c>
      <c r="F156" s="6" t="inlineStr">
        <is>
          <t>Bank-System</t>
        </is>
      </c>
      <c r="G156" s="7" t="n">
        <v>45958.7</v>
      </c>
      <c r="H156" s="7" t="n">
        <v>45958.70486111111</v>
      </c>
      <c r="I156" s="6" t="inlineStr">
        <is>
          <t>COMPLETED</t>
        </is>
      </c>
      <c r="J156" s="6" t="n">
        <v>60</v>
      </c>
      <c r="K156" s="11">
        <f>(H156-G156)*1440</f>
        <v/>
      </c>
      <c r="L156" s="10">
        <f>IF(K156&gt;J156,"YES","NO")</f>
        <v/>
      </c>
    </row>
    <row r="157">
      <c r="A157" s="6" t="inlineStr">
        <is>
          <t>I4C-CASE-2025-0026</t>
        </is>
      </c>
      <c r="B157" s="6" t="inlineStr">
        <is>
          <t>31608230000026</t>
        </is>
      </c>
      <c r="C157" s="6" t="inlineStr">
        <is>
          <t>0c3b8a7e-84e0-4bf7-90b1-90943ee41090</t>
        </is>
      </c>
      <c r="D157" s="6" t="n">
        <v>6</v>
      </c>
      <c r="E157" s="6" t="inlineStr">
        <is>
          <t>I4C_STATUS_UPDATE_RESPONSE</t>
        </is>
      </c>
      <c r="F157" s="6" t="inlineStr">
        <is>
          <t>I4C</t>
        </is>
      </c>
      <c r="G157" s="7" t="n">
        <v>45958.70486111111</v>
      </c>
      <c r="H157" s="7" t="n">
        <v>45958.70489583333</v>
      </c>
      <c r="I157" s="6" t="inlineStr">
        <is>
          <t>COMPLETED</t>
        </is>
      </c>
      <c r="J157" s="6" t="n">
        <v>10</v>
      </c>
      <c r="K157" s="11">
        <f>(H157-G157)*1440</f>
        <v/>
      </c>
      <c r="L157" s="10">
        <f>IF(K157&gt;J157,"YES","NO")</f>
        <v/>
      </c>
    </row>
    <row r="158">
      <c r="A158" s="6" t="inlineStr">
        <is>
          <t>I4C-CASE-2025-0027</t>
        </is>
      </c>
      <c r="B158" s="6" t="inlineStr">
        <is>
          <t>31608230000027</t>
        </is>
      </c>
      <c r="C158" s="6" t="inlineStr">
        <is>
          <t>4ad56b6f-7e0f-4744-a89a-aed047152451</t>
        </is>
      </c>
      <c r="D158" s="6" t="n">
        <v>1</v>
      </c>
      <c r="E158" s="6" t="inlineStr">
        <is>
          <t>I4C_PUSH_RECEIVED</t>
        </is>
      </c>
      <c r="F158" s="6" t="inlineStr">
        <is>
          <t>I4C</t>
        </is>
      </c>
      <c r="G158" s="7" t="n">
        <v>45943.625</v>
      </c>
      <c r="H158" s="7" t="n">
        <v>45943.625</v>
      </c>
      <c r="I158" s="6" t="inlineStr">
        <is>
          <t>COMPLETED</t>
        </is>
      </c>
      <c r="J158" s="6" t="n">
        <v>1</v>
      </c>
      <c r="K158" s="11">
        <f>(H158-G158)*1440</f>
        <v/>
      </c>
      <c r="L158" s="10">
        <f>IF(K158&gt;J158,"YES","NO")</f>
        <v/>
      </c>
    </row>
    <row r="159">
      <c r="A159" s="6" t="inlineStr">
        <is>
          <t>I4C-CASE-2025-0027</t>
        </is>
      </c>
      <c r="B159" s="6" t="inlineStr">
        <is>
          <t>31608230000027</t>
        </is>
      </c>
      <c r="C159" s="6" t="inlineStr">
        <is>
          <t>4ad56b6f-7e0f-4744-a89a-aed047152451</t>
        </is>
      </c>
      <c r="D159" s="6" t="n">
        <v>2</v>
      </c>
      <c r="E159" s="6" t="inlineStr">
        <is>
          <t>BANK_ACK_SENT</t>
        </is>
      </c>
      <c r="F159" s="6" t="inlineStr">
        <is>
          <t>Bank-System</t>
        </is>
      </c>
      <c r="G159" s="7" t="n">
        <v>45943.625</v>
      </c>
      <c r="H159" s="7" t="n">
        <v>45943.62505787037</v>
      </c>
      <c r="I159" s="6" t="inlineStr">
        <is>
          <t>COMPLETED</t>
        </is>
      </c>
      <c r="J159" s="6" t="n">
        <v>1</v>
      </c>
      <c r="K159" s="11">
        <f>(H159-G159)*1440</f>
        <v/>
      </c>
      <c r="L159" s="10">
        <f>IF(K159&gt;J159,"YES","NO")</f>
        <v/>
      </c>
    </row>
    <row r="160">
      <c r="A160" s="6" t="inlineStr">
        <is>
          <t>I4C-CASE-2025-0027</t>
        </is>
      </c>
      <c r="B160" s="6" t="inlineStr">
        <is>
          <t>31608230000027</t>
        </is>
      </c>
      <c r="C160" s="6" t="inlineStr">
        <is>
          <t>4ad56b6f-7e0f-4744-a89a-aed047152451</t>
        </is>
      </c>
      <c r="D160" s="6" t="n">
        <v>3</v>
      </c>
      <c r="E160" s="6" t="inlineStr">
        <is>
          <t>ENRICHMENT_ROUTING</t>
        </is>
      </c>
      <c r="F160" s="6" t="inlineStr">
        <is>
          <t>Bank-System</t>
        </is>
      </c>
      <c r="G160" s="7" t="n">
        <v>45943.62505787037</v>
      </c>
      <c r="H160" s="7" t="n">
        <v>45943.62777777778</v>
      </c>
      <c r="I160" s="6" t="inlineStr">
        <is>
          <t>COMPLETED</t>
        </is>
      </c>
      <c r="J160" s="6" t="n">
        <v>15</v>
      </c>
      <c r="K160" s="11">
        <f>(H160-G160)*1440</f>
        <v/>
      </c>
      <c r="L160" s="10">
        <f>IF(K160&gt;J160,"YES","NO")</f>
        <v/>
      </c>
    </row>
    <row r="161">
      <c r="A161" s="6" t="inlineStr">
        <is>
          <t>I4C-CASE-2025-0027</t>
        </is>
      </c>
      <c r="B161" s="6" t="inlineStr">
        <is>
          <t>31608230000027</t>
        </is>
      </c>
      <c r="C161" s="6" t="inlineStr">
        <is>
          <t>4ad56b6f-7e0f-4744-a89a-aed047152451</t>
        </is>
      </c>
      <c r="D161" s="6" t="n">
        <v>4</v>
      </c>
      <c r="E161" s="6" t="inlineStr">
        <is>
          <t>HOLD_ACTION_ATTEMPTED</t>
        </is>
      </c>
      <c r="F161" s="6" t="inlineStr">
        <is>
          <t>Bank-Ops</t>
        </is>
      </c>
      <c r="G161" s="7" t="n">
        <v>45943.62777777778</v>
      </c>
      <c r="H161" s="7" t="n">
        <v>45943.64027777778</v>
      </c>
      <c r="I161" s="6" t="inlineStr">
        <is>
          <t>COMPLETED</t>
        </is>
      </c>
      <c r="J161" s="6" t="n">
        <v>30</v>
      </c>
      <c r="K161" s="11">
        <f>(H161-G161)*1440</f>
        <v/>
      </c>
      <c r="L161" s="10">
        <f>IF(K161&gt;J161,"YES","NO")</f>
        <v/>
      </c>
    </row>
    <row r="162">
      <c r="A162" s="6" t="inlineStr">
        <is>
          <t>I4C-CASE-2025-0027</t>
        </is>
      </c>
      <c r="B162" s="6" t="inlineStr">
        <is>
          <t>31608230000027</t>
        </is>
      </c>
      <c r="C162" s="6" t="inlineStr">
        <is>
          <t>4ad56b6f-7e0f-4744-a89a-aed047152451</t>
        </is>
      </c>
      <c r="D162" s="6" t="n">
        <v>5</v>
      </c>
      <c r="E162" s="6" t="inlineStr">
        <is>
          <t>STATUS_UPDATE_SENT</t>
        </is>
      </c>
      <c r="F162" s="6" t="inlineStr">
        <is>
          <t>Bank-System</t>
        </is>
      </c>
      <c r="G162" s="7" t="n">
        <v>45943.64027777778</v>
      </c>
      <c r="H162" s="7" t="n">
        <v>45943.64166666667</v>
      </c>
      <c r="I162" s="6" t="inlineStr">
        <is>
          <t>COMPLETED</t>
        </is>
      </c>
      <c r="J162" s="6" t="n">
        <v>60</v>
      </c>
      <c r="K162" s="11">
        <f>(H162-G162)*1440</f>
        <v/>
      </c>
      <c r="L162" s="10">
        <f>IF(K162&gt;J162,"YES","NO")</f>
        <v/>
      </c>
    </row>
    <row r="163">
      <c r="A163" s="6" t="inlineStr">
        <is>
          <t>I4C-CASE-2025-0027</t>
        </is>
      </c>
      <c r="B163" s="6" t="inlineStr">
        <is>
          <t>31608230000027</t>
        </is>
      </c>
      <c r="C163" s="6" t="inlineStr">
        <is>
          <t>4ad56b6f-7e0f-4744-a89a-aed047152451</t>
        </is>
      </c>
      <c r="D163" s="6" t="n">
        <v>6</v>
      </c>
      <c r="E163" s="6" t="inlineStr">
        <is>
          <t>I4C_STATUS_UPDATE_RESPONSE</t>
        </is>
      </c>
      <c r="F163" s="6" t="inlineStr">
        <is>
          <t>I4C</t>
        </is>
      </c>
      <c r="G163" s="7" t="n">
        <v>45943.64166666667</v>
      </c>
      <c r="H163" s="7" t="n">
        <v>45943.64170138889</v>
      </c>
      <c r="I163" s="6" t="inlineStr">
        <is>
          <t>COMPLETED</t>
        </is>
      </c>
      <c r="J163" s="6" t="n">
        <v>10</v>
      </c>
      <c r="K163" s="11">
        <f>(H163-G163)*1440</f>
        <v/>
      </c>
      <c r="L163" s="10">
        <f>IF(K163&gt;J163,"YES","NO")</f>
        <v/>
      </c>
    </row>
    <row r="164">
      <c r="A164" s="6" t="inlineStr">
        <is>
          <t>I4C-CASE-2025-0028</t>
        </is>
      </c>
      <c r="B164" s="6" t="inlineStr">
        <is>
          <t>31608230000028</t>
        </is>
      </c>
      <c r="C164" s="6" t="inlineStr">
        <is>
          <t>e15f19c7-2369-41e3-a3b6-5ec3f50b7c2f</t>
        </is>
      </c>
      <c r="D164" s="6" t="n">
        <v>1</v>
      </c>
      <c r="E164" s="6" t="inlineStr">
        <is>
          <t>I4C_PUSH_RECEIVED</t>
        </is>
      </c>
      <c r="F164" s="6" t="inlineStr">
        <is>
          <t>I4C</t>
        </is>
      </c>
      <c r="G164" s="7" t="n">
        <v>45941.06944444445</v>
      </c>
      <c r="H164" s="7" t="n">
        <v>45941.06944444445</v>
      </c>
      <c r="I164" s="6" t="inlineStr">
        <is>
          <t>COMPLETED</t>
        </is>
      </c>
      <c r="J164" s="6" t="n">
        <v>1</v>
      </c>
      <c r="K164" s="11">
        <f>(H164-G164)*1440</f>
        <v/>
      </c>
      <c r="L164" s="10">
        <f>IF(K164&gt;J164,"YES","NO")</f>
        <v/>
      </c>
    </row>
    <row r="165">
      <c r="A165" s="6" t="inlineStr">
        <is>
          <t>I4C-CASE-2025-0028</t>
        </is>
      </c>
      <c r="B165" s="6" t="inlineStr">
        <is>
          <t>31608230000028</t>
        </is>
      </c>
      <c r="C165" s="6" t="inlineStr">
        <is>
          <t>e15f19c7-2369-41e3-a3b6-5ec3f50b7c2f</t>
        </is>
      </c>
      <c r="D165" s="6" t="n">
        <v>2</v>
      </c>
      <c r="E165" s="6" t="inlineStr">
        <is>
          <t>BANK_ACK_SENT</t>
        </is>
      </c>
      <c r="F165" s="6" t="inlineStr">
        <is>
          <t>Bank-System</t>
        </is>
      </c>
      <c r="G165" s="7" t="n">
        <v>45941.06944444445</v>
      </c>
      <c r="H165" s="7" t="n">
        <v>45941.06950231481</v>
      </c>
      <c r="I165" s="6" t="inlineStr">
        <is>
          <t>COMPLETED</t>
        </is>
      </c>
      <c r="J165" s="6" t="n">
        <v>1</v>
      </c>
      <c r="K165" s="11">
        <f>(H165-G165)*1440</f>
        <v/>
      </c>
      <c r="L165" s="10">
        <f>IF(K165&gt;J165,"YES","NO")</f>
        <v/>
      </c>
    </row>
    <row r="166">
      <c r="A166" s="6" t="inlineStr">
        <is>
          <t>I4C-CASE-2025-0028</t>
        </is>
      </c>
      <c r="B166" s="6" t="inlineStr">
        <is>
          <t>31608230000028</t>
        </is>
      </c>
      <c r="C166" s="6" t="inlineStr">
        <is>
          <t>e15f19c7-2369-41e3-a3b6-5ec3f50b7c2f</t>
        </is>
      </c>
      <c r="D166" s="6" t="n">
        <v>3</v>
      </c>
      <c r="E166" s="6" t="inlineStr">
        <is>
          <t>ENRICHMENT_ROUTING</t>
        </is>
      </c>
      <c r="F166" s="6" t="inlineStr">
        <is>
          <t>Bank-System</t>
        </is>
      </c>
      <c r="G166" s="7" t="n">
        <v>45941.06950231481</v>
      </c>
      <c r="H166" s="7" t="n">
        <v>45941.07222222222</v>
      </c>
      <c r="I166" s="6" t="inlineStr">
        <is>
          <t>COMPLETED</t>
        </is>
      </c>
      <c r="J166" s="6" t="n">
        <v>15</v>
      </c>
      <c r="K166" s="11">
        <f>(H166-G166)*1440</f>
        <v/>
      </c>
      <c r="L166" s="10">
        <f>IF(K166&gt;J166,"YES","NO")</f>
        <v/>
      </c>
    </row>
    <row r="167">
      <c r="A167" s="6" t="inlineStr">
        <is>
          <t>I4C-CASE-2025-0028</t>
        </is>
      </c>
      <c r="B167" s="6" t="inlineStr">
        <is>
          <t>31608230000028</t>
        </is>
      </c>
      <c r="C167" s="6" t="inlineStr">
        <is>
          <t>e15f19c7-2369-41e3-a3b6-5ec3f50b7c2f</t>
        </is>
      </c>
      <c r="D167" s="6" t="n">
        <v>4</v>
      </c>
      <c r="E167" s="6" t="inlineStr">
        <is>
          <t>HOLD_ACTION_ATTEMPTED</t>
        </is>
      </c>
      <c r="F167" s="6" t="inlineStr">
        <is>
          <t>Bank-Ops</t>
        </is>
      </c>
      <c r="G167" s="7" t="n">
        <v>45941.07222222222</v>
      </c>
      <c r="H167" s="7" t="n">
        <v>45941.08472222222</v>
      </c>
      <c r="I167" s="6" t="inlineStr">
        <is>
          <t>COMPLETED</t>
        </is>
      </c>
      <c r="J167" s="6" t="n">
        <v>30</v>
      </c>
      <c r="K167" s="11">
        <f>(H167-G167)*1440</f>
        <v/>
      </c>
      <c r="L167" s="10">
        <f>IF(K167&gt;J167,"YES","NO")</f>
        <v/>
      </c>
    </row>
    <row r="168">
      <c r="A168" s="6" t="inlineStr">
        <is>
          <t>I4C-CASE-2025-0028</t>
        </is>
      </c>
      <c r="B168" s="6" t="inlineStr">
        <is>
          <t>31608230000028</t>
        </is>
      </c>
      <c r="C168" s="6" t="inlineStr">
        <is>
          <t>e15f19c7-2369-41e3-a3b6-5ec3f50b7c2f</t>
        </is>
      </c>
      <c r="D168" s="6" t="n">
        <v>5</v>
      </c>
      <c r="E168" s="6" t="inlineStr">
        <is>
          <t>STATUS_UPDATE_SENT</t>
        </is>
      </c>
      <c r="F168" s="6" t="inlineStr">
        <is>
          <t>Bank-System</t>
        </is>
      </c>
      <c r="G168" s="7" t="n">
        <v>45941.08472222222</v>
      </c>
      <c r="H168" s="7" t="n">
        <v>45941.08958333333</v>
      </c>
      <c r="I168" s="6" t="inlineStr">
        <is>
          <t>COMPLETED</t>
        </is>
      </c>
      <c r="J168" s="6" t="n">
        <v>60</v>
      </c>
      <c r="K168" s="11">
        <f>(H168-G168)*1440</f>
        <v/>
      </c>
      <c r="L168" s="10">
        <f>IF(K168&gt;J168,"YES","NO")</f>
        <v/>
      </c>
    </row>
    <row r="169">
      <c r="A169" s="6" t="inlineStr">
        <is>
          <t>I4C-CASE-2025-0028</t>
        </is>
      </c>
      <c r="B169" s="6" t="inlineStr">
        <is>
          <t>31608230000028</t>
        </is>
      </c>
      <c r="C169" s="6" t="inlineStr">
        <is>
          <t>e15f19c7-2369-41e3-a3b6-5ec3f50b7c2f</t>
        </is>
      </c>
      <c r="D169" s="6" t="n">
        <v>6</v>
      </c>
      <c r="E169" s="6" t="inlineStr">
        <is>
          <t>I4C_STATUS_UPDATE_RESPONSE</t>
        </is>
      </c>
      <c r="F169" s="6" t="inlineStr">
        <is>
          <t>I4C</t>
        </is>
      </c>
      <c r="G169" s="7" t="n">
        <v>45941.08958333333</v>
      </c>
      <c r="H169" s="7" t="n">
        <v>45941.08961805556</v>
      </c>
      <c r="I169" s="6" t="inlineStr">
        <is>
          <t>COMPLETED</t>
        </is>
      </c>
      <c r="J169" s="6" t="n">
        <v>10</v>
      </c>
      <c r="K169" s="11">
        <f>(H169-G169)*1440</f>
        <v/>
      </c>
      <c r="L169" s="10">
        <f>IF(K169&gt;J169,"YES","NO")</f>
        <v/>
      </c>
    </row>
    <row r="170">
      <c r="A170" s="6" t="inlineStr">
        <is>
          <t>I4C-CASE-2025-0029</t>
        </is>
      </c>
      <c r="B170" s="6" t="inlineStr">
        <is>
          <t>31608230000029</t>
        </is>
      </c>
      <c r="C170" s="6" t="inlineStr">
        <is>
          <t>47f45dd2-b53d-45e3-8eed-29c832f5cb8b</t>
        </is>
      </c>
      <c r="D170" s="6" t="n">
        <v>1</v>
      </c>
      <c r="E170" s="6" t="inlineStr">
        <is>
          <t>I4C_PUSH_RECEIVED</t>
        </is>
      </c>
      <c r="F170" s="6" t="inlineStr">
        <is>
          <t>I4C</t>
        </is>
      </c>
      <c r="G170" s="7" t="n">
        <v>45937.13541666666</v>
      </c>
      <c r="H170" s="7" t="n">
        <v>45937.13541666666</v>
      </c>
      <c r="I170" s="6" t="inlineStr">
        <is>
          <t>COMPLETED</t>
        </is>
      </c>
      <c r="J170" s="6" t="n">
        <v>1</v>
      </c>
      <c r="K170" s="11">
        <f>(H170-G170)*1440</f>
        <v/>
      </c>
      <c r="L170" s="10">
        <f>IF(K170&gt;J170,"YES","NO")</f>
        <v/>
      </c>
    </row>
    <row r="171">
      <c r="A171" s="6" t="inlineStr">
        <is>
          <t>I4C-CASE-2025-0029</t>
        </is>
      </c>
      <c r="B171" s="6" t="inlineStr">
        <is>
          <t>31608230000029</t>
        </is>
      </c>
      <c r="C171" s="6" t="inlineStr">
        <is>
          <t>47f45dd2-b53d-45e3-8eed-29c832f5cb8b</t>
        </is>
      </c>
      <c r="D171" s="6" t="n">
        <v>2</v>
      </c>
      <c r="E171" s="6" t="inlineStr">
        <is>
          <t>BANK_ACK_SENT</t>
        </is>
      </c>
      <c r="F171" s="6" t="inlineStr">
        <is>
          <t>Bank-System</t>
        </is>
      </c>
      <c r="G171" s="7" t="n">
        <v>45937.13541666666</v>
      </c>
      <c r="H171" s="7" t="n">
        <v>45937.13547453703</v>
      </c>
      <c r="I171" s="6" t="inlineStr">
        <is>
          <t>COMPLETED</t>
        </is>
      </c>
      <c r="J171" s="6" t="n">
        <v>1</v>
      </c>
      <c r="K171" s="11">
        <f>(H171-G171)*1440</f>
        <v/>
      </c>
      <c r="L171" s="10">
        <f>IF(K171&gt;J171,"YES","NO")</f>
        <v/>
      </c>
    </row>
    <row r="172">
      <c r="A172" s="6" t="inlineStr">
        <is>
          <t>I4C-CASE-2025-0029</t>
        </is>
      </c>
      <c r="B172" s="6" t="inlineStr">
        <is>
          <t>31608230000029</t>
        </is>
      </c>
      <c r="C172" s="6" t="inlineStr">
        <is>
          <t>47f45dd2-b53d-45e3-8eed-29c832f5cb8b</t>
        </is>
      </c>
      <c r="D172" s="6" t="n">
        <v>3</v>
      </c>
      <c r="E172" s="6" t="inlineStr">
        <is>
          <t>ENRICHMENT_ROUTING</t>
        </is>
      </c>
      <c r="F172" s="6" t="inlineStr">
        <is>
          <t>Bank-System</t>
        </is>
      </c>
      <c r="G172" s="7" t="n">
        <v>45937.13547453703</v>
      </c>
      <c r="H172" s="7" t="n">
        <v>45937.13819444444</v>
      </c>
      <c r="I172" s="6" t="inlineStr">
        <is>
          <t>COMPLETED</t>
        </is>
      </c>
      <c r="J172" s="6" t="n">
        <v>15</v>
      </c>
      <c r="K172" s="11">
        <f>(H172-G172)*1440</f>
        <v/>
      </c>
      <c r="L172" s="10">
        <f>IF(K172&gt;J172,"YES","NO")</f>
        <v/>
      </c>
    </row>
    <row r="173">
      <c r="A173" s="6" t="inlineStr">
        <is>
          <t>I4C-CASE-2025-0029</t>
        </is>
      </c>
      <c r="B173" s="6" t="inlineStr">
        <is>
          <t>31608230000029</t>
        </is>
      </c>
      <c r="C173" s="6" t="inlineStr">
        <is>
          <t>47f45dd2-b53d-45e3-8eed-29c832f5cb8b</t>
        </is>
      </c>
      <c r="D173" s="6" t="n">
        <v>4</v>
      </c>
      <c r="E173" s="6" t="inlineStr">
        <is>
          <t>HOLD_ACTION_ATTEMPTED</t>
        </is>
      </c>
      <c r="F173" s="6" t="inlineStr">
        <is>
          <t>Bank-Ops</t>
        </is>
      </c>
      <c r="G173" s="7" t="n">
        <v>45937.13819444444</v>
      </c>
      <c r="H173" s="7" t="n">
        <v>45937.14236111111</v>
      </c>
      <c r="I173" s="6" t="inlineStr">
        <is>
          <t>COMPLETED</t>
        </is>
      </c>
      <c r="J173" s="6" t="n">
        <v>30</v>
      </c>
      <c r="K173" s="11">
        <f>(H173-G173)*1440</f>
        <v/>
      </c>
      <c r="L173" s="10">
        <f>IF(K173&gt;J173,"YES","NO")</f>
        <v/>
      </c>
    </row>
    <row r="174">
      <c r="A174" s="6" t="inlineStr">
        <is>
          <t>I4C-CASE-2025-0029</t>
        </is>
      </c>
      <c r="B174" s="6" t="inlineStr">
        <is>
          <t>31608230000029</t>
        </is>
      </c>
      <c r="C174" s="6" t="inlineStr">
        <is>
          <t>47f45dd2-b53d-45e3-8eed-29c832f5cb8b</t>
        </is>
      </c>
      <c r="D174" s="6" t="n">
        <v>5</v>
      </c>
      <c r="E174" s="6" t="inlineStr">
        <is>
          <t>STATUS_UPDATE_SENT</t>
        </is>
      </c>
      <c r="F174" s="6" t="inlineStr">
        <is>
          <t>Bank-System</t>
        </is>
      </c>
      <c r="G174" s="7" t="n">
        <v>45937.14236111111</v>
      </c>
      <c r="H174" s="7" t="n">
        <v>45937.14861111111</v>
      </c>
      <c r="I174" s="6" t="inlineStr">
        <is>
          <t>COMPLETED</t>
        </is>
      </c>
      <c r="J174" s="6" t="n">
        <v>60</v>
      </c>
      <c r="K174" s="11">
        <f>(H174-G174)*1440</f>
        <v/>
      </c>
      <c r="L174" s="10">
        <f>IF(K174&gt;J174,"YES","NO")</f>
        <v/>
      </c>
    </row>
    <row r="175">
      <c r="A175" s="6" t="inlineStr">
        <is>
          <t>I4C-CASE-2025-0029</t>
        </is>
      </c>
      <c r="B175" s="6" t="inlineStr">
        <is>
          <t>31608230000029</t>
        </is>
      </c>
      <c r="C175" s="6" t="inlineStr">
        <is>
          <t>47f45dd2-b53d-45e3-8eed-29c832f5cb8b</t>
        </is>
      </c>
      <c r="D175" s="6" t="n">
        <v>6</v>
      </c>
      <c r="E175" s="6" t="inlineStr">
        <is>
          <t>I4C_STATUS_UPDATE_RESPONSE</t>
        </is>
      </c>
      <c r="F175" s="6" t="inlineStr">
        <is>
          <t>I4C</t>
        </is>
      </c>
      <c r="G175" s="7" t="n">
        <v>45937.14861111111</v>
      </c>
      <c r="H175" s="7" t="n">
        <v>45937.14864583333</v>
      </c>
      <c r="I175" s="6" t="inlineStr">
        <is>
          <t>COMPLETED</t>
        </is>
      </c>
      <c r="J175" s="6" t="n">
        <v>10</v>
      </c>
      <c r="K175" s="11">
        <f>(H175-G175)*1440</f>
        <v/>
      </c>
      <c r="L175" s="10">
        <f>IF(K175&gt;J175,"YES","NO")</f>
        <v/>
      </c>
    </row>
    <row r="176">
      <c r="A176" s="6" t="inlineStr">
        <is>
          <t>I4C-CASE-2025-0030</t>
        </is>
      </c>
      <c r="B176" s="6" t="inlineStr">
        <is>
          <t>31608230000030</t>
        </is>
      </c>
      <c r="C176" s="6" t="inlineStr">
        <is>
          <t>38c47fb7-350b-4e16-bd31-1c77d36f369d</t>
        </is>
      </c>
      <c r="D176" s="6" t="n">
        <v>1</v>
      </c>
      <c r="E176" s="6" t="inlineStr">
        <is>
          <t>I4C_PUSH_RECEIVED</t>
        </is>
      </c>
      <c r="F176" s="6" t="inlineStr">
        <is>
          <t>I4C</t>
        </is>
      </c>
      <c r="G176" s="7" t="n">
        <v>45934.98958333334</v>
      </c>
      <c r="H176" s="7" t="n">
        <v>45934.98958333334</v>
      </c>
      <c r="I176" s="6" t="inlineStr">
        <is>
          <t>COMPLETED</t>
        </is>
      </c>
      <c r="J176" s="6" t="n">
        <v>1</v>
      </c>
      <c r="K176" s="11">
        <f>(H176-G176)*1440</f>
        <v/>
      </c>
      <c r="L176" s="10">
        <f>IF(K176&gt;J176,"YES","NO")</f>
        <v/>
      </c>
    </row>
    <row r="177">
      <c r="A177" s="6" t="inlineStr">
        <is>
          <t>I4C-CASE-2025-0030</t>
        </is>
      </c>
      <c r="B177" s="6" t="inlineStr">
        <is>
          <t>31608230000030</t>
        </is>
      </c>
      <c r="C177" s="6" t="inlineStr">
        <is>
          <t>38c47fb7-350b-4e16-bd31-1c77d36f369d</t>
        </is>
      </c>
      <c r="D177" s="6" t="n">
        <v>2</v>
      </c>
      <c r="E177" s="6" t="inlineStr">
        <is>
          <t>BANK_ACK_SENT</t>
        </is>
      </c>
      <c r="F177" s="6" t="inlineStr">
        <is>
          <t>Bank-System</t>
        </is>
      </c>
      <c r="G177" s="7" t="n">
        <v>45934.98958333334</v>
      </c>
      <c r="H177" s="7" t="n">
        <v>45934.98964120371</v>
      </c>
      <c r="I177" s="6" t="inlineStr">
        <is>
          <t>COMPLETED</t>
        </is>
      </c>
      <c r="J177" s="6" t="n">
        <v>1</v>
      </c>
      <c r="K177" s="11">
        <f>(H177-G177)*1440</f>
        <v/>
      </c>
      <c r="L177" s="10">
        <f>IF(K177&gt;J177,"YES","NO")</f>
        <v/>
      </c>
    </row>
    <row r="178">
      <c r="A178" s="6" t="inlineStr">
        <is>
          <t>I4C-CASE-2025-0030</t>
        </is>
      </c>
      <c r="B178" s="6" t="inlineStr">
        <is>
          <t>31608230000030</t>
        </is>
      </c>
      <c r="C178" s="6" t="inlineStr">
        <is>
          <t>38c47fb7-350b-4e16-bd31-1c77d36f369d</t>
        </is>
      </c>
      <c r="D178" s="6" t="n">
        <v>3</v>
      </c>
      <c r="E178" s="6" t="inlineStr">
        <is>
          <t>ENRICHMENT_ROUTING</t>
        </is>
      </c>
      <c r="F178" s="6" t="inlineStr">
        <is>
          <t>Bank-System</t>
        </is>
      </c>
      <c r="G178" s="7" t="n">
        <v>45934.98964120371</v>
      </c>
      <c r="H178" s="7" t="n">
        <v>45934.99305555555</v>
      </c>
      <c r="I178" s="6" t="inlineStr">
        <is>
          <t>COMPLETED</t>
        </is>
      </c>
      <c r="J178" s="6" t="n">
        <v>15</v>
      </c>
      <c r="K178" s="11">
        <f>(H178-G178)*1440</f>
        <v/>
      </c>
      <c r="L178" s="10">
        <f>IF(K178&gt;J178,"YES","NO")</f>
        <v/>
      </c>
    </row>
    <row r="179">
      <c r="A179" s="6" t="inlineStr">
        <is>
          <t>I4C-CASE-2025-0030</t>
        </is>
      </c>
      <c r="B179" s="6" t="inlineStr">
        <is>
          <t>31608230000030</t>
        </is>
      </c>
      <c r="C179" s="6" t="inlineStr">
        <is>
          <t>38c47fb7-350b-4e16-bd31-1c77d36f369d</t>
        </is>
      </c>
      <c r="D179" s="6" t="n">
        <v>4</v>
      </c>
      <c r="E179" s="6" t="inlineStr">
        <is>
          <t>HOLD_ACTION_ATTEMPTED</t>
        </is>
      </c>
      <c r="F179" s="6" t="inlineStr">
        <is>
          <t>Bank-Ops</t>
        </is>
      </c>
      <c r="G179" s="7" t="n">
        <v>45934.99305555555</v>
      </c>
      <c r="H179" s="7" t="n">
        <v>45935.00208333333</v>
      </c>
      <c r="I179" s="6" t="inlineStr">
        <is>
          <t>COMPLETED</t>
        </is>
      </c>
      <c r="J179" s="6" t="n">
        <v>30</v>
      </c>
      <c r="K179" s="11">
        <f>(H179-G179)*1440</f>
        <v/>
      </c>
      <c r="L179" s="10">
        <f>IF(K179&gt;J179,"YES","NO")</f>
        <v/>
      </c>
    </row>
    <row r="180">
      <c r="A180" s="6" t="inlineStr">
        <is>
          <t>I4C-CASE-2025-0030</t>
        </is>
      </c>
      <c r="B180" s="6" t="inlineStr">
        <is>
          <t>31608230000030</t>
        </is>
      </c>
      <c r="C180" s="6" t="inlineStr">
        <is>
          <t>38c47fb7-350b-4e16-bd31-1c77d36f369d</t>
        </is>
      </c>
      <c r="D180" s="6" t="n">
        <v>5</v>
      </c>
      <c r="E180" s="6" t="inlineStr">
        <is>
          <t>STATUS_UPDATE_SENT</t>
        </is>
      </c>
      <c r="F180" s="6" t="inlineStr">
        <is>
          <t>Bank-System</t>
        </is>
      </c>
      <c r="G180" s="7" t="n">
        <v>45935.00208333333</v>
      </c>
      <c r="H180" s="7" t="n">
        <v>45935.00625</v>
      </c>
      <c r="I180" s="6" t="inlineStr">
        <is>
          <t>COMPLETED</t>
        </is>
      </c>
      <c r="J180" s="6" t="n">
        <v>60</v>
      </c>
      <c r="K180" s="11">
        <f>(H180-G180)*1440</f>
        <v/>
      </c>
      <c r="L180" s="10">
        <f>IF(K180&gt;J180,"YES","NO")</f>
        <v/>
      </c>
    </row>
    <row r="181">
      <c r="A181" s="6" t="inlineStr">
        <is>
          <t>I4C-CASE-2025-0030</t>
        </is>
      </c>
      <c r="B181" s="6" t="inlineStr">
        <is>
          <t>31608230000030</t>
        </is>
      </c>
      <c r="C181" s="6" t="inlineStr">
        <is>
          <t>38c47fb7-350b-4e16-bd31-1c77d36f369d</t>
        </is>
      </c>
      <c r="D181" s="6" t="n">
        <v>6</v>
      </c>
      <c r="E181" s="6" t="inlineStr">
        <is>
          <t>I4C_STATUS_UPDATE_RESPONSE</t>
        </is>
      </c>
      <c r="F181" s="6" t="inlineStr">
        <is>
          <t>I4C</t>
        </is>
      </c>
      <c r="G181" s="7" t="n">
        <v>45935.00625</v>
      </c>
      <c r="H181" s="7" t="n">
        <v>45935.00628472222</v>
      </c>
      <c r="I181" s="6" t="inlineStr">
        <is>
          <t>COMPLETED</t>
        </is>
      </c>
      <c r="J181" s="6" t="n">
        <v>10</v>
      </c>
      <c r="K181" s="11">
        <f>(H181-G181)*1440</f>
        <v/>
      </c>
      <c r="L181" s="10">
        <f>IF(K181&gt;J181,"YES","NO")</f>
        <v/>
      </c>
    </row>
  </sheetData>
  <autoFilter ref="A1:L181"/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3" customWidth="1" min="3" max="3"/>
    <col width="27" customWidth="1" min="4" max="4"/>
  </cols>
  <sheetData>
    <row r="1" ht="22" customHeight="1">
      <c r="A1" s="4" t="inlineStr">
        <is>
          <t>bank_name</t>
        </is>
      </c>
      <c r="B1" s="4" t="inlineStr">
        <is>
          <t>bank_code</t>
        </is>
      </c>
      <c r="C1" s="4" t="inlineStr">
        <is>
          <t>ifsc_prefix</t>
        </is>
      </c>
      <c r="D1" s="4" t="inlineStr">
        <is>
          <t>notes</t>
        </is>
      </c>
    </row>
    <row r="2">
      <c r="A2" s="6" t="inlineStr">
        <is>
          <t>State Bank of India</t>
        </is>
      </c>
      <c r="B2" s="6" t="n">
        <v>1</v>
      </c>
      <c r="C2" s="6" t="inlineStr"/>
      <c r="D2" s="6" t="inlineStr">
        <is>
          <t>Payer bank examples</t>
        </is>
      </c>
    </row>
    <row r="3">
      <c r="A3" s="6" t="inlineStr">
        <is>
          <t>HDFC Bank</t>
        </is>
      </c>
      <c r="B3" s="6" t="n">
        <v>2</v>
      </c>
      <c r="C3" s="6" t="inlineStr"/>
      <c r="D3" s="6" t="inlineStr">
        <is>
          <t>Payer bank examples</t>
        </is>
      </c>
    </row>
    <row r="4">
      <c r="A4" s="6" t="inlineStr">
        <is>
          <t>ICICI Bank</t>
        </is>
      </c>
      <c r="B4" s="6" t="n">
        <v>3</v>
      </c>
      <c r="C4" s="6" t="inlineStr"/>
      <c r="D4" s="6" t="inlineStr">
        <is>
          <t>Payer bank examples</t>
        </is>
      </c>
    </row>
    <row r="5">
      <c r="A5" s="6" t="inlineStr">
        <is>
          <t>Axis Bank</t>
        </is>
      </c>
      <c r="B5" s="6" t="n">
        <v>4</v>
      </c>
      <c r="C5" s="6" t="inlineStr"/>
      <c r="D5" s="6" t="inlineStr">
        <is>
          <t>Payer bank examples</t>
        </is>
      </c>
    </row>
    <row r="6">
      <c r="A6" s="6" t="inlineStr">
        <is>
          <t>Punjab National Bank</t>
        </is>
      </c>
      <c r="B6" s="6" t="n">
        <v>5</v>
      </c>
      <c r="C6" s="6" t="inlineStr"/>
      <c r="D6" s="6" t="inlineStr">
        <is>
          <t>Payer bank examples</t>
        </is>
      </c>
    </row>
    <row r="7">
      <c r="A7" s="6" t="inlineStr">
        <is>
          <t>Bank of Baroda</t>
        </is>
      </c>
      <c r="B7" s="6" t="n">
        <v>6</v>
      </c>
      <c r="C7" s="6" t="inlineStr"/>
      <c r="D7" s="6" t="inlineStr">
        <is>
          <t>Payer bank examples</t>
        </is>
      </c>
    </row>
    <row r="8">
      <c r="A8" s="6" t="inlineStr">
        <is>
          <t>Central Bank of India</t>
        </is>
      </c>
      <c r="B8" s="6" t="n">
        <v>10</v>
      </c>
      <c r="C8" s="6" t="inlineStr"/>
      <c r="D8" s="6" t="inlineStr">
        <is>
          <t>Payer bank examples</t>
        </is>
      </c>
    </row>
    <row r="9">
      <c r="A9" s="6" t="inlineStr">
        <is>
          <t>Kotak Mahindra Bank</t>
        </is>
      </c>
      <c r="B9" s="6" t="n">
        <v>7</v>
      </c>
      <c r="C9" s="6" t="inlineStr">
        <is>
          <t>KKBK</t>
        </is>
      </c>
      <c r="D9" s="6" t="inlineStr">
        <is>
          <t>Payee bank / IFSC mapping</t>
        </is>
      </c>
    </row>
    <row r="10">
      <c r="A10" s="6" t="inlineStr">
        <is>
          <t>Yes Bank</t>
        </is>
      </c>
      <c r="B10" s="6" t="n">
        <v>8</v>
      </c>
      <c r="C10" s="6" t="inlineStr">
        <is>
          <t>YESB</t>
        </is>
      </c>
      <c r="D10" s="6" t="inlineStr">
        <is>
          <t>Payee bank / IFSC mapping</t>
        </is>
      </c>
    </row>
    <row r="11">
      <c r="A11" s="6" t="inlineStr">
        <is>
          <t>IndusInd Bank</t>
        </is>
      </c>
      <c r="B11" s="6" t="n">
        <v>9</v>
      </c>
      <c r="C11" s="6" t="inlineStr">
        <is>
          <t>INDB</t>
        </is>
      </c>
      <c r="D11" s="6" t="inlineStr">
        <is>
          <t>Payee bank / IFSC mapping</t>
        </is>
      </c>
    </row>
    <row r="12">
      <c r="A12" s="6" t="inlineStr">
        <is>
          <t>IDFC FIRST Bank</t>
        </is>
      </c>
      <c r="B12" s="6" t="n">
        <v>11</v>
      </c>
      <c r="C12" s="6" t="inlineStr">
        <is>
          <t>IDFB</t>
        </is>
      </c>
      <c r="D12" s="6" t="inlineStr">
        <is>
          <t>Payee bank / IFSC mapping</t>
        </is>
      </c>
    </row>
    <row r="13">
      <c r="A13" s="6" t="inlineStr">
        <is>
          <t>Canara Bank</t>
        </is>
      </c>
      <c r="B13" s="6" t="n">
        <v>12</v>
      </c>
      <c r="C13" s="6" t="inlineStr">
        <is>
          <t>CNRB</t>
        </is>
      </c>
      <c r="D13" s="6" t="inlineStr">
        <is>
          <t>Payee bank / IFSC mapping</t>
        </is>
      </c>
    </row>
    <row r="14">
      <c r="A14" s="6" t="inlineStr">
        <is>
          <t>Union Bank of India</t>
        </is>
      </c>
      <c r="B14" s="6" t="n">
        <v>13</v>
      </c>
      <c r="C14" s="6" t="inlineStr">
        <is>
          <t>UBIN</t>
        </is>
      </c>
      <c r="D14" s="6" t="inlineStr">
        <is>
          <t>Payee bank / IFSC mapping</t>
        </is>
      </c>
    </row>
    <row r="15">
      <c r="A15" s="6" t="inlineStr">
        <is>
          <t>UCO Bank</t>
        </is>
      </c>
      <c r="B15" s="6" t="n">
        <v>14</v>
      </c>
      <c r="C15" s="6" t="inlineStr">
        <is>
          <t>UCBA</t>
        </is>
      </c>
      <c r="D15" s="6" t="inlineStr">
        <is>
          <t>Payee bank / IFSC mapping</t>
        </is>
      </c>
    </row>
    <row r="16">
      <c r="A16" s="6" t="inlineStr">
        <is>
          <t>Varachha Co-operative Bank</t>
        </is>
      </c>
      <c r="B16" s="6" t="n">
        <v>36</v>
      </c>
      <c r="C16" s="6" t="inlineStr">
        <is>
          <t>VARA</t>
        </is>
      </c>
      <c r="D16" s="6" t="inlineStr">
        <is>
          <t>Payee bank / IFSC mapping</t>
        </is>
      </c>
    </row>
  </sheetData>
  <autoFilter ref="A1:D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5" customWidth="1" min="3" max="3"/>
    <col width="10" customWidth="1" min="4" max="4"/>
    <col width="55" customWidth="1" min="5" max="5"/>
  </cols>
  <sheetData>
    <row r="1" ht="22" customHeight="1">
      <c r="A1" s="4" t="inlineStr">
        <is>
          <t>status_code</t>
        </is>
      </c>
      <c r="B1" s="4" t="inlineStr">
        <is>
          <t>status_label</t>
        </is>
      </c>
      <c r="C1" s="4" t="inlineStr">
        <is>
          <t>meaning</t>
        </is>
      </c>
      <c r="D1" s="4" t="inlineStr">
        <is>
          <t>owner</t>
        </is>
      </c>
      <c r="E1" s="4" t="inlineStr">
        <is>
          <t>demo_example_usage</t>
        </is>
      </c>
    </row>
    <row r="2">
      <c r="A2" s="6" t="inlineStr">
        <is>
          <t>10000</t>
        </is>
      </c>
      <c r="B2" s="6" t="inlineStr">
        <is>
          <t>RECEIVED</t>
        </is>
      </c>
      <c r="C2" s="6" t="inlineStr">
        <is>
          <t>Inbound fraud report received and accepted for processing</t>
        </is>
      </c>
      <c r="D2" s="6" t="inlineStr">
        <is>
          <t>System</t>
        </is>
      </c>
      <c r="E2" s="6" t="inlineStr">
        <is>
          <t>Use this code in Bank_StatusUpdate_TxnDetails.status_code</t>
        </is>
      </c>
    </row>
    <row r="3">
      <c r="A3" s="6" t="inlineStr">
        <is>
          <t>20000</t>
        </is>
      </c>
      <c r="B3" s="6" t="inlineStr">
        <is>
          <t>HOLD_PLACED</t>
        </is>
      </c>
      <c r="C3" s="6" t="inlineStr">
        <is>
          <t>Lien/hold placed successfully</t>
        </is>
      </c>
      <c r="D3" s="6" t="inlineStr">
        <is>
          <t>Bank Ops</t>
        </is>
      </c>
      <c r="E3" s="6" t="inlineStr">
        <is>
          <t>Use this code in Bank_StatusUpdate_TxnDetails.status_code</t>
        </is>
      </c>
    </row>
    <row r="4">
      <c r="A4" s="6" t="inlineStr">
        <is>
          <t>20005</t>
        </is>
      </c>
      <c r="B4" s="6" t="inlineStr">
        <is>
          <t>PARTIAL_HOLD</t>
        </is>
      </c>
      <c r="C4" s="6" t="inlineStr">
        <is>
          <t>Partial amount held due to insufficient balance</t>
        </is>
      </c>
      <c r="D4" s="6" t="inlineStr">
        <is>
          <t>Bank Ops</t>
        </is>
      </c>
      <c r="E4" s="6" t="inlineStr">
        <is>
          <t>Use this code in Bank_StatusUpdate_TxnDetails.status_code</t>
        </is>
      </c>
    </row>
    <row r="5">
      <c r="A5" s="6" t="inlineStr">
        <is>
          <t>20010</t>
        </is>
      </c>
      <c r="B5" s="6" t="inlineStr">
        <is>
          <t>NEGATIVE_LIEN</t>
        </is>
      </c>
      <c r="C5" s="6" t="inlineStr">
        <is>
          <t>Negative lien marked (balance not available)</t>
        </is>
      </c>
      <c r="D5" s="6" t="inlineStr">
        <is>
          <t>Bank Ops</t>
        </is>
      </c>
      <c r="E5" s="6" t="inlineStr">
        <is>
          <t>Use this code in Bank_StatusUpdate_TxnDetails.status_code</t>
        </is>
      </c>
    </row>
    <row r="6">
      <c r="A6" s="6" t="inlineStr">
        <is>
          <t>30000</t>
        </is>
      </c>
      <c r="B6" s="6" t="inlineStr">
        <is>
          <t>HOLD_RELEASED</t>
        </is>
      </c>
      <c r="C6" s="6" t="inlineStr">
        <is>
          <t>Hold released after verification/legal direction</t>
        </is>
      </c>
      <c r="D6" s="6" t="inlineStr">
        <is>
          <t>Bank HO</t>
        </is>
      </c>
      <c r="E6" s="6" t="inlineStr">
        <is>
          <t>Use this code in Bank_StatusUpdate_TxnDetails.status_code</t>
        </is>
      </c>
    </row>
    <row r="7">
      <c r="A7" s="6" t="inlineStr">
        <is>
          <t>40001</t>
        </is>
      </c>
      <c r="B7" s="6" t="inlineStr">
        <is>
          <t>ACCOUNT_NOT_FOUND</t>
        </is>
      </c>
      <c r="C7" s="6" t="inlineStr">
        <is>
          <t>Beneficiary account not found / invalid details</t>
        </is>
      </c>
      <c r="D7" s="6" t="inlineStr">
        <is>
          <t>Bank Ops</t>
        </is>
      </c>
      <c r="E7" s="6" t="inlineStr">
        <is>
          <t>Use this code in Bank_StatusUpdate_TxnDetails.status_code</t>
        </is>
      </c>
    </row>
    <row r="8">
      <c r="A8" s="6" t="inlineStr">
        <is>
          <t>50001</t>
        </is>
      </c>
      <c r="B8" s="6" t="inlineStr">
        <is>
          <t>DEPENDENCY_TIMEOUT</t>
        </is>
      </c>
      <c r="C8" s="6" t="inlineStr">
        <is>
          <t>Upstream dependency timeout (CBS/rail)</t>
        </is>
      </c>
      <c r="D8" s="6" t="inlineStr">
        <is>
          <t>System</t>
        </is>
      </c>
      <c r="E8" s="6" t="inlineStr">
        <is>
          <t>Use this code in Bank_StatusUpdate_TxnDetails.status_code</t>
        </is>
      </c>
    </row>
    <row r="9">
      <c r="A9" s="6" t="inlineStr">
        <is>
          <t>50002</t>
        </is>
      </c>
      <c r="B9" s="6" t="inlineStr">
        <is>
          <t>ENCRYPTION_ERROR</t>
        </is>
      </c>
      <c r="C9" s="6" t="inlineStr">
        <is>
          <t>Encryption/Decryption failure</t>
        </is>
      </c>
      <c r="D9" s="6" t="inlineStr">
        <is>
          <t>System</t>
        </is>
      </c>
      <c r="E9" s="6" t="inlineStr">
        <is>
          <t>Use this code in Bank_StatusUpdate_TxnDetails.status_code</t>
        </is>
      </c>
    </row>
  </sheetData>
  <autoFilter ref="A1:E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17" customWidth="1" min="4" max="4"/>
    <col width="13" customWidth="1" min="5" max="5"/>
    <col width="9" customWidth="1" min="6" max="6"/>
  </cols>
  <sheetData>
    <row r="1" ht="22" customHeight="1">
      <c r="A1" s="4" t="inlineStr">
        <is>
          <t>branch_id</t>
        </is>
      </c>
      <c r="B1" s="4" t="inlineStr">
        <is>
          <t>branch_name</t>
        </is>
      </c>
      <c r="C1" s="4" t="inlineStr">
        <is>
          <t>state</t>
        </is>
      </c>
      <c r="D1" s="4" t="inlineStr">
        <is>
          <t>district</t>
        </is>
      </c>
      <c r="E1" s="4" t="inlineStr">
        <is>
          <t>ifsc_prefix</t>
        </is>
      </c>
      <c r="F1" s="4" t="inlineStr">
        <is>
          <t>region</t>
        </is>
      </c>
    </row>
    <row r="2">
      <c r="A2" s="6" t="inlineStr">
        <is>
          <t>BR-001</t>
        </is>
      </c>
      <c r="B2" s="6" t="inlineStr">
        <is>
          <t>Demo Branch 001</t>
        </is>
      </c>
      <c r="C2" s="6" t="inlineStr">
        <is>
          <t>TELANGANA</t>
        </is>
      </c>
      <c r="D2" s="6" t="inlineStr">
        <is>
          <t>Hyderabad</t>
        </is>
      </c>
      <c r="E2" s="6" t="inlineStr">
        <is>
          <t>KKBK</t>
        </is>
      </c>
      <c r="F2" s="6" t="inlineStr">
        <is>
          <t>WEST</t>
        </is>
      </c>
    </row>
    <row r="3">
      <c r="A3" s="6" t="inlineStr">
        <is>
          <t>BR-002</t>
        </is>
      </c>
      <c r="B3" s="6" t="inlineStr">
        <is>
          <t>Demo Branch 002</t>
        </is>
      </c>
      <c r="C3" s="6" t="inlineStr">
        <is>
          <t>WEST BENGAL</t>
        </is>
      </c>
      <c r="D3" s="6" t="inlineStr">
        <is>
          <t>Kolkata</t>
        </is>
      </c>
      <c r="E3" s="6" t="inlineStr">
        <is>
          <t>UBIN</t>
        </is>
      </c>
      <c r="F3" s="6" t="inlineStr">
        <is>
          <t>SOUTH</t>
        </is>
      </c>
    </row>
    <row r="4">
      <c r="A4" s="6" t="inlineStr">
        <is>
          <t>BR-003</t>
        </is>
      </c>
      <c r="B4" s="6" t="inlineStr">
        <is>
          <t>Demo Branch 003</t>
        </is>
      </c>
      <c r="C4" s="6" t="inlineStr">
        <is>
          <t>GUJARAT</t>
        </is>
      </c>
      <c r="D4" s="6" t="inlineStr">
        <is>
          <t>Surat</t>
        </is>
      </c>
      <c r="E4" s="6" t="inlineStr">
        <is>
          <t>IDFB</t>
        </is>
      </c>
      <c r="F4" s="6" t="inlineStr">
        <is>
          <t>SOUTH</t>
        </is>
      </c>
    </row>
    <row r="5">
      <c r="A5" s="6" t="inlineStr">
        <is>
          <t>BR-004</t>
        </is>
      </c>
      <c r="B5" s="6" t="inlineStr">
        <is>
          <t>Demo Branch 004</t>
        </is>
      </c>
      <c r="C5" s="6" t="inlineStr">
        <is>
          <t>MAHARASHTRA</t>
        </is>
      </c>
      <c r="D5" s="6" t="inlineStr">
        <is>
          <t>Pune</t>
        </is>
      </c>
      <c r="E5" s="6" t="inlineStr">
        <is>
          <t>YESB</t>
        </is>
      </c>
      <c r="F5" s="6" t="inlineStr">
        <is>
          <t>EAST</t>
        </is>
      </c>
    </row>
    <row r="6">
      <c r="A6" s="6" t="inlineStr">
        <is>
          <t>BR-005</t>
        </is>
      </c>
      <c r="B6" s="6" t="inlineStr">
        <is>
          <t>Demo Branch 005</t>
        </is>
      </c>
      <c r="C6" s="6" t="inlineStr">
        <is>
          <t>MAHARASHTRA</t>
        </is>
      </c>
      <c r="D6" s="6" t="inlineStr">
        <is>
          <t>Pune</t>
        </is>
      </c>
      <c r="E6" s="6" t="inlineStr">
        <is>
          <t>UBIN</t>
        </is>
      </c>
      <c r="F6" s="6" t="inlineStr">
        <is>
          <t>SOUTH</t>
        </is>
      </c>
    </row>
    <row r="7">
      <c r="A7" s="6" t="inlineStr">
        <is>
          <t>BR-006</t>
        </is>
      </c>
      <c r="B7" s="6" t="inlineStr">
        <is>
          <t>Demo Branch 006</t>
        </is>
      </c>
      <c r="C7" s="6" t="inlineStr">
        <is>
          <t>TELANGANA</t>
        </is>
      </c>
      <c r="D7" s="6" t="inlineStr">
        <is>
          <t>Hyderabad</t>
        </is>
      </c>
      <c r="E7" s="6" t="inlineStr">
        <is>
          <t>KKBK</t>
        </is>
      </c>
      <c r="F7" s="6" t="inlineStr">
        <is>
          <t>EAST</t>
        </is>
      </c>
    </row>
    <row r="8">
      <c r="A8" s="6" t="inlineStr">
        <is>
          <t>BR-007</t>
        </is>
      </c>
      <c r="B8" s="6" t="inlineStr">
        <is>
          <t>Demo Branch 007</t>
        </is>
      </c>
      <c r="C8" s="6" t="inlineStr">
        <is>
          <t>MAHARASHTRA</t>
        </is>
      </c>
      <c r="D8" s="6" t="inlineStr">
        <is>
          <t>Pune</t>
        </is>
      </c>
      <c r="E8" s="6" t="inlineStr">
        <is>
          <t>UCBA</t>
        </is>
      </c>
      <c r="F8" s="6" t="inlineStr">
        <is>
          <t>NORTH</t>
        </is>
      </c>
    </row>
    <row r="9">
      <c r="A9" s="6" t="inlineStr">
        <is>
          <t>BR-008</t>
        </is>
      </c>
      <c r="B9" s="6" t="inlineStr">
        <is>
          <t>Demo Branch 008</t>
        </is>
      </c>
      <c r="C9" s="6" t="inlineStr">
        <is>
          <t>TELANGANA</t>
        </is>
      </c>
      <c r="D9" s="6" t="inlineStr">
        <is>
          <t>Hyderabad</t>
        </is>
      </c>
      <c r="E9" s="6" t="inlineStr">
        <is>
          <t>UBIN</t>
        </is>
      </c>
      <c r="F9" s="6" t="inlineStr">
        <is>
          <t>CENTRAL</t>
        </is>
      </c>
    </row>
    <row r="10">
      <c r="A10" s="6" t="inlineStr">
        <is>
          <t>BR-009</t>
        </is>
      </c>
      <c r="B10" s="6" t="inlineStr">
        <is>
          <t>Demo Branch 009</t>
        </is>
      </c>
      <c r="C10" s="6" t="inlineStr">
        <is>
          <t>KARNATAKA</t>
        </is>
      </c>
      <c r="D10" s="6" t="inlineStr">
        <is>
          <t>Bengaluru Urban</t>
        </is>
      </c>
      <c r="E10" s="6" t="inlineStr">
        <is>
          <t>YESB</t>
        </is>
      </c>
      <c r="F10" s="6" t="inlineStr">
        <is>
          <t>NORTH</t>
        </is>
      </c>
    </row>
    <row r="11">
      <c r="A11" s="6" t="inlineStr">
        <is>
          <t>BR-010</t>
        </is>
      </c>
      <c r="B11" s="6" t="inlineStr">
        <is>
          <t>Demo Branch 010</t>
        </is>
      </c>
      <c r="C11" s="6" t="inlineStr">
        <is>
          <t>KARNATAKA</t>
        </is>
      </c>
      <c r="D11" s="6" t="inlineStr">
        <is>
          <t>Bengaluru Urban</t>
        </is>
      </c>
      <c r="E11" s="6" t="inlineStr">
        <is>
          <t>CNRB</t>
        </is>
      </c>
      <c r="F11" s="6" t="inlineStr">
        <is>
          <t>NORTH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1" customWidth="1" min="4" max="4"/>
    <col width="22" customWidth="1" min="5" max="5"/>
    <col width="12" customWidth="1" min="6" max="6"/>
  </cols>
  <sheetData>
    <row r="1" ht="22" customHeight="1">
      <c r="A1" s="4" t="inlineStr">
        <is>
          <t>user_id</t>
        </is>
      </c>
      <c r="B1" s="4" t="inlineStr">
        <is>
          <t>full_name</t>
        </is>
      </c>
      <c r="C1" s="4" t="inlineStr">
        <is>
          <t>role</t>
        </is>
      </c>
      <c r="D1" s="4" t="inlineStr">
        <is>
          <t>branch_id</t>
        </is>
      </c>
      <c r="E1" s="4" t="inlineStr">
        <is>
          <t>email</t>
        </is>
      </c>
      <c r="F1" s="4" t="inlineStr">
        <is>
          <t>mobile</t>
        </is>
      </c>
    </row>
    <row r="2">
      <c r="A2" s="6" t="inlineStr">
        <is>
          <t>U-001</t>
        </is>
      </c>
      <c r="B2" s="6" t="inlineStr">
        <is>
          <t>Demo User 001</t>
        </is>
      </c>
      <c r="C2" s="6" t="inlineStr">
        <is>
          <t>BRANCH_USER</t>
        </is>
      </c>
      <c r="D2" s="6" t="inlineStr">
        <is>
          <t>BR-004</t>
        </is>
      </c>
      <c r="E2" s="6" t="inlineStr">
        <is>
          <t>user001@demo-bank.in</t>
        </is>
      </c>
      <c r="F2" s="6" t="inlineStr">
        <is>
          <t>9647525534</t>
        </is>
      </c>
    </row>
    <row r="3">
      <c r="A3" s="6" t="inlineStr">
        <is>
          <t>U-002</t>
        </is>
      </c>
      <c r="B3" s="6" t="inlineStr">
        <is>
          <t>Demo User 002</t>
        </is>
      </c>
      <c r="C3" s="6" t="inlineStr">
        <is>
          <t>MAKER</t>
        </is>
      </c>
      <c r="D3" s="6" t="inlineStr">
        <is>
          <t>BR-002</t>
        </is>
      </c>
      <c r="E3" s="6" t="inlineStr">
        <is>
          <t>user002@demo-bank.in</t>
        </is>
      </c>
      <c r="F3" s="6" t="inlineStr">
        <is>
          <t>9283276483</t>
        </is>
      </c>
    </row>
    <row r="4">
      <c r="A4" s="6" t="inlineStr">
        <is>
          <t>U-003</t>
        </is>
      </c>
      <c r="B4" s="6" t="inlineStr">
        <is>
          <t>Demo User 003</t>
        </is>
      </c>
      <c r="C4" s="6" t="inlineStr">
        <is>
          <t>BRANCH_USER</t>
        </is>
      </c>
      <c r="D4" s="6" t="inlineStr">
        <is>
          <t>BR-006</t>
        </is>
      </c>
      <c r="E4" s="6" t="inlineStr">
        <is>
          <t>user003@demo-bank.in</t>
        </is>
      </c>
      <c r="F4" s="6" t="inlineStr">
        <is>
          <t>9305641395</t>
        </is>
      </c>
    </row>
    <row r="5">
      <c r="A5" s="6" t="inlineStr">
        <is>
          <t>U-004</t>
        </is>
      </c>
      <c r="B5" s="6" t="inlineStr">
        <is>
          <t>Demo User 004</t>
        </is>
      </c>
      <c r="C5" s="6" t="inlineStr">
        <is>
          <t>CHECKER</t>
        </is>
      </c>
      <c r="D5" s="6" t="inlineStr">
        <is>
          <t>BR-004</t>
        </is>
      </c>
      <c r="E5" s="6" t="inlineStr">
        <is>
          <t>user004@demo-bank.in</t>
        </is>
      </c>
      <c r="F5" s="6" t="inlineStr">
        <is>
          <t>9767242388</t>
        </is>
      </c>
    </row>
    <row r="6">
      <c r="A6" s="6" t="inlineStr">
        <is>
          <t>U-005</t>
        </is>
      </c>
      <c r="B6" s="6" t="inlineStr">
        <is>
          <t>Demo User 005</t>
        </is>
      </c>
      <c r="C6" s="6" t="inlineStr">
        <is>
          <t>CHECKER</t>
        </is>
      </c>
      <c r="D6" s="6" t="inlineStr">
        <is>
          <t>BR-005</t>
        </is>
      </c>
      <c r="E6" s="6" t="inlineStr">
        <is>
          <t>user005@demo-bank.in</t>
        </is>
      </c>
      <c r="F6" s="6" t="inlineStr">
        <is>
          <t>9969653287</t>
        </is>
      </c>
    </row>
    <row r="7">
      <c r="A7" s="6" t="inlineStr">
        <is>
          <t>U-006</t>
        </is>
      </c>
      <c r="B7" s="6" t="inlineStr">
        <is>
          <t>Demo User 006</t>
        </is>
      </c>
      <c r="C7" s="6" t="inlineStr">
        <is>
          <t>BRANCH_USER</t>
        </is>
      </c>
      <c r="D7" s="6" t="inlineStr">
        <is>
          <t>BR-002</t>
        </is>
      </c>
      <c r="E7" s="6" t="inlineStr">
        <is>
          <t>user006@demo-bank.in</t>
        </is>
      </c>
      <c r="F7" s="6" t="inlineStr">
        <is>
          <t>9122691669</t>
        </is>
      </c>
    </row>
    <row r="8">
      <c r="A8" s="6" t="inlineStr">
        <is>
          <t>U-007</t>
        </is>
      </c>
      <c r="B8" s="6" t="inlineStr">
        <is>
          <t>Demo User 007</t>
        </is>
      </c>
      <c r="C8" s="6" t="inlineStr">
        <is>
          <t>MAKER</t>
        </is>
      </c>
      <c r="D8" s="6" t="inlineStr">
        <is>
          <t>BR-008</t>
        </is>
      </c>
      <c r="E8" s="6" t="inlineStr">
        <is>
          <t>user007@demo-bank.in</t>
        </is>
      </c>
      <c r="F8" s="6" t="inlineStr">
        <is>
          <t>9480184514</t>
        </is>
      </c>
    </row>
    <row r="9">
      <c r="A9" s="6" t="inlineStr">
        <is>
          <t>U-008</t>
        </is>
      </c>
      <c r="B9" s="6" t="inlineStr">
        <is>
          <t>Demo User 008</t>
        </is>
      </c>
      <c r="C9" s="6" t="inlineStr">
        <is>
          <t>HO_USER</t>
        </is>
      </c>
      <c r="D9" s="6" t="inlineStr">
        <is>
          <t>BR-007</t>
        </is>
      </c>
      <c r="E9" s="6" t="inlineStr">
        <is>
          <t>user008@demo-bank.in</t>
        </is>
      </c>
      <c r="F9" s="6" t="inlineStr">
        <is>
          <t>9704828148</t>
        </is>
      </c>
    </row>
    <row r="10">
      <c r="A10" s="6" t="inlineStr">
        <is>
          <t>U-009</t>
        </is>
      </c>
      <c r="B10" s="6" t="inlineStr">
        <is>
          <t>Demo User 009</t>
        </is>
      </c>
      <c r="C10" s="6" t="inlineStr">
        <is>
          <t>HO_USER</t>
        </is>
      </c>
      <c r="D10" s="6" t="inlineStr">
        <is>
          <t>BR-010</t>
        </is>
      </c>
      <c r="E10" s="6" t="inlineStr">
        <is>
          <t>user009@demo-bank.in</t>
        </is>
      </c>
      <c r="F10" s="6" t="inlineStr">
        <is>
          <t>9252880957</t>
        </is>
      </c>
    </row>
    <row r="11">
      <c r="A11" s="6" t="inlineStr">
        <is>
          <t>U-010</t>
        </is>
      </c>
      <c r="B11" s="6" t="inlineStr">
        <is>
          <t>Demo User 010</t>
        </is>
      </c>
      <c r="C11" s="6" t="inlineStr">
        <is>
          <t>BRANCH_USER</t>
        </is>
      </c>
      <c r="D11" s="6" t="inlineStr">
        <is>
          <t>BR-001</t>
        </is>
      </c>
      <c r="E11" s="6" t="inlineStr">
        <is>
          <t>user010@demo-bank.in</t>
        </is>
      </c>
      <c r="F11" s="6" t="inlineStr">
        <is>
          <t>9543039117</t>
        </is>
      </c>
    </row>
    <row r="12">
      <c r="A12" s="6" t="inlineStr">
        <is>
          <t>U-011</t>
        </is>
      </c>
      <c r="B12" s="6" t="inlineStr">
        <is>
          <t>Demo User 011</t>
        </is>
      </c>
      <c r="C12" s="6" t="inlineStr">
        <is>
          <t>MAKER</t>
        </is>
      </c>
      <c r="D12" s="6" t="inlineStr">
        <is>
          <t>BR-002</t>
        </is>
      </c>
      <c r="E12" s="6" t="inlineStr">
        <is>
          <t>user011@demo-bank.in</t>
        </is>
      </c>
      <c r="F12" s="6" t="inlineStr">
        <is>
          <t>9227824896</t>
        </is>
      </c>
    </row>
    <row r="13">
      <c r="A13" s="6" t="inlineStr">
        <is>
          <t>U-012</t>
        </is>
      </c>
      <c r="B13" s="6" t="inlineStr">
        <is>
          <t>Demo User 012</t>
        </is>
      </c>
      <c r="C13" s="6" t="inlineStr">
        <is>
          <t>MAKER</t>
        </is>
      </c>
      <c r="D13" s="6" t="inlineStr">
        <is>
          <t>BR-004</t>
        </is>
      </c>
      <c r="E13" s="6" t="inlineStr">
        <is>
          <t>user012@demo-bank.in</t>
        </is>
      </c>
      <c r="F13" s="6" t="inlineStr">
        <is>
          <t>9346578713</t>
        </is>
      </c>
    </row>
    <row r="14">
      <c r="A14" s="6" t="inlineStr">
        <is>
          <t>U-013</t>
        </is>
      </c>
      <c r="B14" s="6" t="inlineStr">
        <is>
          <t>Demo User 013</t>
        </is>
      </c>
      <c r="C14" s="6" t="inlineStr">
        <is>
          <t>BRANCH_USER</t>
        </is>
      </c>
      <c r="D14" s="6" t="inlineStr">
        <is>
          <t>BR-004</t>
        </is>
      </c>
      <c r="E14" s="6" t="inlineStr">
        <is>
          <t>user013@demo-bank.in</t>
        </is>
      </c>
      <c r="F14" s="6" t="inlineStr">
        <is>
          <t>9509839301</t>
        </is>
      </c>
    </row>
    <row r="15">
      <c r="A15" s="6" t="inlineStr">
        <is>
          <t>U-014</t>
        </is>
      </c>
      <c r="B15" s="6" t="inlineStr">
        <is>
          <t>Demo User 014</t>
        </is>
      </c>
      <c r="C15" s="6" t="inlineStr">
        <is>
          <t>HO_USER</t>
        </is>
      </c>
      <c r="D15" s="6" t="inlineStr">
        <is>
          <t>BR-001</t>
        </is>
      </c>
      <c r="E15" s="6" t="inlineStr">
        <is>
          <t>user014@demo-bank.in</t>
        </is>
      </c>
      <c r="F15" s="6" t="inlineStr">
        <is>
          <t>9105183473</t>
        </is>
      </c>
    </row>
    <row r="16">
      <c r="A16" s="6" t="inlineStr">
        <is>
          <t>U-015</t>
        </is>
      </c>
      <c r="B16" s="6" t="inlineStr">
        <is>
          <t>Demo User 015</t>
        </is>
      </c>
      <c r="C16" s="6" t="inlineStr">
        <is>
          <t>HO_USER</t>
        </is>
      </c>
      <c r="D16" s="6" t="inlineStr">
        <is>
          <t>BR-009</t>
        </is>
      </c>
      <c r="E16" s="6" t="inlineStr">
        <is>
          <t>user015@demo-bank.in</t>
        </is>
      </c>
      <c r="F16" s="6" t="inlineStr">
        <is>
          <t>9997376311</t>
        </is>
      </c>
    </row>
    <row r="17">
      <c r="A17" s="6" t="inlineStr">
        <is>
          <t>U-016</t>
        </is>
      </c>
      <c r="B17" s="6" t="inlineStr">
        <is>
          <t>Demo User 016</t>
        </is>
      </c>
      <c r="C17" s="6" t="inlineStr">
        <is>
          <t>ADMIN</t>
        </is>
      </c>
      <c r="D17" s="6" t="inlineStr">
        <is>
          <t>BR-007</t>
        </is>
      </c>
      <c r="E17" s="6" t="inlineStr">
        <is>
          <t>user016@demo-bank.in</t>
        </is>
      </c>
      <c r="F17" s="6" t="inlineStr">
        <is>
          <t>9667010651</t>
        </is>
      </c>
    </row>
    <row r="18">
      <c r="A18" s="6" t="inlineStr">
        <is>
          <t>U-017</t>
        </is>
      </c>
      <c r="B18" s="6" t="inlineStr">
        <is>
          <t>Demo User 017</t>
        </is>
      </c>
      <c r="C18" s="6" t="inlineStr">
        <is>
          <t>HO_USER</t>
        </is>
      </c>
      <c r="D18" s="6" t="inlineStr">
        <is>
          <t>BR-004</t>
        </is>
      </c>
      <c r="E18" s="6" t="inlineStr">
        <is>
          <t>user017@demo-bank.in</t>
        </is>
      </c>
      <c r="F18" s="6" t="inlineStr">
        <is>
          <t>9387262473</t>
        </is>
      </c>
    </row>
    <row r="19">
      <c r="A19" s="6" t="inlineStr">
        <is>
          <t>U-018</t>
        </is>
      </c>
      <c r="B19" s="6" t="inlineStr">
        <is>
          <t>Demo User 018</t>
        </is>
      </c>
      <c r="C19" s="6" t="inlineStr">
        <is>
          <t>NODAL_OFFICER</t>
        </is>
      </c>
      <c r="D19" s="6" t="inlineStr">
        <is>
          <t>BR-002</t>
        </is>
      </c>
      <c r="E19" s="6" t="inlineStr">
        <is>
          <t>user018@demo-bank.in</t>
        </is>
      </c>
      <c r="F19" s="6" t="inlineStr">
        <is>
          <t>9810801326</t>
        </is>
      </c>
    </row>
    <row r="20">
      <c r="A20" s="6" t="inlineStr">
        <is>
          <t>U-019</t>
        </is>
      </c>
      <c r="B20" s="6" t="inlineStr">
        <is>
          <t>Demo User 019</t>
        </is>
      </c>
      <c r="C20" s="6" t="inlineStr">
        <is>
          <t>NODAL_OFFICER</t>
        </is>
      </c>
      <c r="D20" s="6" t="inlineStr">
        <is>
          <t>BR-008</t>
        </is>
      </c>
      <c r="E20" s="6" t="inlineStr">
        <is>
          <t>user019@demo-bank.in</t>
        </is>
      </c>
      <c r="F20" s="6" t="inlineStr">
        <is>
          <t>9360260647</t>
        </is>
      </c>
    </row>
    <row r="21">
      <c r="A21" s="6" t="inlineStr">
        <is>
          <t>U-020</t>
        </is>
      </c>
      <c r="B21" s="6" t="inlineStr">
        <is>
          <t>Demo User 020</t>
        </is>
      </c>
      <c r="C21" s="6" t="inlineStr">
        <is>
          <t>NODAL_OFFICER</t>
        </is>
      </c>
      <c r="D21" s="6" t="inlineStr">
        <is>
          <t>BR-005</t>
        </is>
      </c>
      <c r="E21" s="6" t="inlineStr">
        <is>
          <t>user020@demo-bank.in</t>
        </is>
      </c>
      <c r="F21" s="6" t="inlineStr">
        <is>
          <t>9872343098</t>
        </is>
      </c>
    </row>
  </sheetData>
  <autoFilter ref="A1:F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2" customWidth="1" min="2" max="2"/>
  </cols>
  <sheetData>
    <row r="1" ht="22" customHeight="1">
      <c r="A1" s="4" t="inlineStr">
        <is>
          <t>scenario</t>
        </is>
      </c>
      <c r="B1" s="4" t="inlineStr">
        <is>
          <t>description</t>
        </is>
      </c>
    </row>
    <row r="2">
      <c r="A2" s="6" t="inlineStr">
        <is>
          <t>HOLD_PLACED</t>
        </is>
      </c>
      <c r="B2" s="6" t="inlineStr">
        <is>
          <t>Successful lien/hold placed; status_code 20000; response_code 00</t>
        </is>
      </c>
    </row>
    <row r="3">
      <c r="A3" s="6" t="inlineStr">
        <is>
          <t>NEGATIVE_LIEN</t>
        </is>
      </c>
      <c r="B3" s="6" t="inlineStr">
        <is>
          <t>Balance not available; negative lien marked; status_code 20010; response_code 00</t>
        </is>
      </c>
    </row>
    <row r="4">
      <c r="A4" s="6" t="inlineStr">
        <is>
          <t>PARTIAL_HOLD</t>
        </is>
      </c>
      <c r="B4" s="6" t="inlineStr">
        <is>
          <t>Partial amount held; status_code 20005; response_code 00</t>
        </is>
      </c>
    </row>
    <row r="5">
      <c r="A5" s="6" t="inlineStr">
        <is>
          <t>ACCOUNT_NOT_FOUND</t>
        </is>
      </c>
      <c r="B5" s="6" t="inlineStr">
        <is>
          <t>Invalid beneficiary details; status_code 40001; response_code 00</t>
        </is>
      </c>
    </row>
    <row r="6">
      <c r="A6" s="6" t="inlineStr">
        <is>
          <t>DEPENDENCY_TIMEOUT</t>
        </is>
      </c>
      <c r="B6" s="6" t="inlineStr">
        <is>
          <t>CBS/rail timeout; status_code 50001; I4C response_code 99 (demo failure)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2026-01-29T07:18:53Z</dcterms:created>
  <dcterms:modified xmlns:dcterms="http://purl.org/dc/terms/" xmlns:xsi="http://www.w3.org/2001/XMLSchema-instance" xsi:type="dcterms:W3CDTF">2026-01-29T07:18:53Z</dcterms:modified>
</cp:coreProperties>
</file>